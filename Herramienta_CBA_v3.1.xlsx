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I:\My Drive\04-UNDRR\01-Data\Entregables\Tool\"/>
    </mc:Choice>
  </mc:AlternateContent>
  <xr:revisionPtr revIDLastSave="0" documentId="13_ncr:1_{CD59F1F0-BE06-4E80-82E4-DE10E7C72761}" xr6:coauthVersionLast="47" xr6:coauthVersionMax="47" xr10:uidLastSave="{00000000-0000-0000-0000-000000000000}"/>
  <workbookProtection lockStructure="1"/>
  <bookViews>
    <workbookView xWindow="-110" yWindow="-110" windowWidth="19420" windowHeight="10300" xr2:uid="{00000000-000D-0000-FFFF-FFFF00000000}"/>
  </bookViews>
  <sheets>
    <sheet name="Instrucciones" sheetId="14" r:id="rId1"/>
    <sheet name="Principal" sheetId="10" r:id="rId2"/>
    <sheet name="Costos de Reposicion" sheetId="13" r:id="rId3"/>
    <sheet name="Intervenciones" sheetId="15" r:id="rId4"/>
    <sheet name="Listas" sheetId="11" r:id="rId5"/>
    <sheet name="asset_counts_canton" sheetId="4" state="hidden" r:id="rId6"/>
    <sheet name="average_aalr_tot_canton" sheetId="5" state="hidden" r:id="rId7"/>
    <sheet name="std_dev_aalr_tot_canton" sheetId="6" state="hidden" r:id="rId8"/>
    <sheet name="min_aalr_tot_canton" sheetId="12" state="hidden" r:id="rId9"/>
  </sheets>
  <definedNames>
    <definedName name="_xlnm._FilterDatabase" localSheetId="4" hidden="1">Listas!$B$2:$I$37</definedName>
    <definedName name="_xlnm._FilterDatabase" localSheetId="1" hidden="1">Principal!$D$9:$G$10</definedName>
    <definedName name="Alajuela">Listas!$C$3:$C$37</definedName>
    <definedName name="Cartago">Listas!$D$3:$D$37</definedName>
    <definedName name="Educación">'Costos de Reposicion'!$V$10:$V$18</definedName>
    <definedName name="escenarios">Listas!$J$3:$J$5</definedName>
    <definedName name="Guanacaste">Listas!$E$3:$E$37</definedName>
    <definedName name="Heredia">Listas!$F$3:$F$37</definedName>
    <definedName name="Interv_Educación">Intervenciones!$B$12:$B$14</definedName>
    <definedName name="Interv_Residencial">Intervenciones!$B$15:$B$17</definedName>
    <definedName name="Interv_Salud">Intervenciones!$B$18:$B$20</definedName>
    <definedName name="Interv_Transporte">Intervenciones!$B$21:$B$23</definedName>
    <definedName name="intervensiones">Listas!#REF!</definedName>
    <definedName name="Limón">Listas!$G$3:$G$37</definedName>
    <definedName name="Provincias">Listas!$B$3:$B$9</definedName>
    <definedName name="Puntarenas">Listas!$H$3:$H$37</definedName>
    <definedName name="Residencial">'Costos de Reposicion'!$W$10:$W$18</definedName>
    <definedName name="Salud">'Costos de Reposicion'!$X$10:$X$18</definedName>
    <definedName name="San_Jose">Listas!$I$3:$I$37</definedName>
    <definedName name="Transporte">'Costos de Reposicion'!$Y$10:$Y$18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 i="10" l="1"/>
  <c r="P18" i="10"/>
  <c r="P17" i="10"/>
  <c r="Q19" i="10"/>
  <c r="Q18" i="10"/>
  <c r="Q17" i="10"/>
  <c r="P16" i="10"/>
  <c r="E17" i="13"/>
  <c r="G17" i="13" s="1"/>
  <c r="D17" i="13"/>
  <c r="K13" i="10"/>
  <c r="J13" i="10"/>
  <c r="I13" i="10"/>
  <c r="H13" i="10"/>
  <c r="K15" i="10"/>
  <c r="J15" i="10"/>
  <c r="I15" i="10"/>
  <c r="H15" i="10"/>
  <c r="K14" i="10"/>
  <c r="J14" i="10"/>
  <c r="I14" i="10"/>
  <c r="H14" i="10"/>
  <c r="K12" i="10"/>
  <c r="J12" i="10"/>
  <c r="I12" i="10"/>
  <c r="H12" i="10"/>
  <c r="K11" i="10"/>
  <c r="J11" i="10"/>
  <c r="I11" i="10"/>
  <c r="H11" i="10"/>
  <c r="S17" i="10"/>
  <c r="S18" i="10"/>
  <c r="S19" i="10"/>
  <c r="H16" i="10"/>
  <c r="I16" i="10"/>
  <c r="J16" i="10"/>
  <c r="K16" i="10"/>
  <c r="H17" i="10"/>
  <c r="I17" i="10"/>
  <c r="J17" i="10"/>
  <c r="K17" i="10"/>
  <c r="H18" i="10"/>
  <c r="I18" i="10"/>
  <c r="J18" i="10"/>
  <c r="K18" i="10"/>
  <c r="H19" i="10"/>
  <c r="I19" i="10"/>
  <c r="J19" i="10"/>
  <c r="K19" i="10"/>
  <c r="P15" i="10"/>
  <c r="P14" i="10"/>
  <c r="P13" i="10"/>
  <c r="P12" i="10"/>
  <c r="P11" i="10"/>
  <c r="P10" i="10"/>
  <c r="D12" i="13"/>
  <c r="E12" i="13"/>
  <c r="G12" i="13" s="1"/>
  <c r="D13" i="13"/>
  <c r="E13" i="13"/>
  <c r="G13" i="13" s="1"/>
  <c r="D14" i="13"/>
  <c r="E14" i="13"/>
  <c r="G14" i="13" s="1"/>
  <c r="D15" i="13"/>
  <c r="E15" i="13"/>
  <c r="G15" i="13" s="1"/>
  <c r="D16" i="13"/>
  <c r="E16" i="13"/>
  <c r="G16" i="13" s="1"/>
  <c r="D18" i="13"/>
  <c r="E18" i="13"/>
  <c r="D19" i="13"/>
  <c r="E19" i="13"/>
  <c r="D20" i="13"/>
  <c r="E20" i="13"/>
  <c r="E11" i="13"/>
  <c r="G11" i="13" s="1"/>
  <c r="D11" i="13"/>
  <c r="G18" i="13"/>
  <c r="G19" i="13"/>
  <c r="G20" i="13"/>
  <c r="Y17" i="10"/>
  <c r="Y18" i="10"/>
  <c r="Y19" i="10"/>
  <c r="X17" i="10"/>
  <c r="X18" i="10"/>
  <c r="X19" i="10"/>
  <c r="W17" i="10"/>
  <c r="W18" i="10"/>
  <c r="W19" i="10"/>
  <c r="D24" i="10"/>
  <c r="M17" i="10"/>
  <c r="M18" i="10"/>
  <c r="M19" i="10"/>
  <c r="N17" i="10"/>
  <c r="R17" i="10"/>
  <c r="V17" i="10"/>
  <c r="N18" i="10"/>
  <c r="R18" i="10"/>
  <c r="V18" i="10"/>
  <c r="N19" i="10"/>
  <c r="R19" i="10"/>
  <c r="V19" i="10"/>
  <c r="K10" i="10"/>
  <c r="J10" i="10"/>
  <c r="I10" i="10"/>
  <c r="H10" i="10"/>
  <c r="M16" i="10" l="1"/>
  <c r="N16" i="10" s="1"/>
  <c r="M15" i="10"/>
  <c r="N15" i="10" s="1"/>
  <c r="M14" i="10"/>
  <c r="N14" i="10" s="1"/>
  <c r="M13" i="10"/>
  <c r="N13" i="10" s="1"/>
  <c r="M12" i="10"/>
  <c r="N12" i="10" s="1"/>
  <c r="M10" i="10"/>
  <c r="N10" i="10" s="1"/>
  <c r="D25" i="10"/>
  <c r="M11" i="10"/>
  <c r="N11" i="10" s="1"/>
  <c r="Q16" i="10" l="1"/>
  <c r="R16" i="10" s="1"/>
  <c r="S16" i="10" s="1"/>
  <c r="Q10" i="10"/>
  <c r="R10" i="10" s="1"/>
  <c r="V10" i="10" s="1"/>
  <c r="Q12" i="10"/>
  <c r="R12" i="10" s="1"/>
  <c r="V12" i="10" s="1"/>
  <c r="Q11" i="10"/>
  <c r="R11" i="10" s="1"/>
  <c r="Q13" i="10"/>
  <c r="R13" i="10" s="1"/>
  <c r="V13" i="10" s="1"/>
  <c r="Q15" i="10"/>
  <c r="Q14" i="10"/>
  <c r="R14" i="10" s="1"/>
  <c r="S14" i="10" s="1"/>
  <c r="D26" i="10"/>
  <c r="V16" i="10" l="1"/>
  <c r="W16" i="10"/>
  <c r="X16" i="10" s="1"/>
  <c r="R15" i="10"/>
  <c r="S15" i="10" s="1"/>
  <c r="S10" i="10"/>
  <c r="V11" i="10"/>
  <c r="S11" i="10"/>
  <c r="W15" i="10"/>
  <c r="X15" i="10" s="1"/>
  <c r="S13" i="10"/>
  <c r="S12" i="10"/>
  <c r="V14" i="10"/>
  <c r="W14" i="10"/>
  <c r="X14" i="10" s="1"/>
  <c r="W13" i="10"/>
  <c r="X13" i="10" s="1"/>
  <c r="Y13" i="10" s="1"/>
  <c r="W11" i="10"/>
  <c r="X11" i="10" s="1"/>
  <c r="Y11" i="10" s="1"/>
  <c r="W10" i="10"/>
  <c r="X10" i="10" s="1"/>
  <c r="W12" i="10"/>
  <c r="X12" i="10" s="1"/>
  <c r="Y12" i="10" s="1"/>
  <c r="D27" i="10"/>
  <c r="Y16" i="10" l="1"/>
  <c r="V15" i="10"/>
  <c r="Y15" i="10" s="1"/>
  <c r="Y14" i="10"/>
  <c r="Y10" i="10"/>
  <c r="D28" i="10"/>
  <c r="D29" i="10" l="1"/>
  <c r="AK13" i="10" l="1"/>
  <c r="D30" i="10"/>
  <c r="AK15" i="10" l="1"/>
  <c r="AK12" i="10"/>
  <c r="AJ11" i="10"/>
  <c r="AL10" i="10"/>
  <c r="AL15" i="10"/>
  <c r="AJ15" i="10"/>
  <c r="AK11" i="10"/>
  <c r="AK16" i="10"/>
  <c r="AJ10" i="10"/>
  <c r="AK14" i="10"/>
  <c r="AL11" i="10"/>
  <c r="AK10" i="10"/>
  <c r="AJ16" i="10"/>
  <c r="AJ14" i="10"/>
  <c r="AL16" i="10"/>
  <c r="AL12" i="10"/>
  <c r="AJ12" i="10"/>
  <c r="AL14" i="10"/>
  <c r="AL13" i="10"/>
  <c r="AJ13" i="10"/>
  <c r="AP10" i="10"/>
  <c r="AP12" i="10"/>
  <c r="AP13" i="10"/>
  <c r="AO11" i="10"/>
  <c r="AO12" i="10"/>
  <c r="AO13" i="10"/>
  <c r="AO10" i="10"/>
  <c r="AP1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Andrés Abarca Jiménez</author>
  </authors>
  <commentList>
    <comment ref="D9" authorId="0" shapeId="0" xr:uid="{3A00F519-7D9F-4E64-A9F0-50E3612B38D3}">
      <text>
        <r>
          <rPr>
            <b/>
            <sz val="9"/>
            <color indexed="81"/>
            <rFont val="Tahoma"/>
            <family val="2"/>
          </rPr>
          <t>Andrés Abarca Jiménez:</t>
        </r>
        <r>
          <rPr>
            <sz val="9"/>
            <color indexed="81"/>
            <rFont val="Tahoma"/>
            <family val="2"/>
          </rPr>
          <t xml:space="preserve">
Elegir de la lista desplegable</t>
        </r>
      </text>
    </comment>
    <comment ref="E9" authorId="0" shapeId="0" xr:uid="{E22BAE0E-117F-4155-908E-CE3E8D9DCA55}">
      <text>
        <r>
          <rPr>
            <b/>
            <sz val="9"/>
            <color indexed="81"/>
            <rFont val="Tahoma"/>
            <family val="2"/>
          </rPr>
          <t>Andrés Abarca Jiménez:</t>
        </r>
        <r>
          <rPr>
            <sz val="9"/>
            <color indexed="81"/>
            <rFont val="Tahoma"/>
            <family val="2"/>
          </rPr>
          <t xml:space="preserve">
Elegir de la lista desplegable</t>
        </r>
      </text>
    </comment>
    <comment ref="F9" authorId="0" shapeId="0" xr:uid="{859763E7-DD3E-410F-B933-E9C811CB9E7F}">
      <text>
        <r>
          <rPr>
            <b/>
            <sz val="9"/>
            <color indexed="81"/>
            <rFont val="Tahoma"/>
            <family val="2"/>
          </rPr>
          <t>Andrés Abarca Jiménez:</t>
        </r>
        <r>
          <rPr>
            <sz val="9"/>
            <color indexed="81"/>
            <rFont val="Tahoma"/>
            <family val="2"/>
          </rPr>
          <t xml:space="preserve">
Elegir de la lista desplegable</t>
        </r>
      </text>
    </comment>
    <comment ref="G9" authorId="0" shapeId="0" xr:uid="{07DFCACA-4AD1-4F7F-9A52-F00FD1F9C1D7}">
      <text>
        <r>
          <rPr>
            <b/>
            <sz val="9"/>
            <color indexed="81"/>
            <rFont val="Tahoma"/>
            <family val="2"/>
          </rPr>
          <t>Andrés Abarca Jiménez:</t>
        </r>
        <r>
          <rPr>
            <sz val="9"/>
            <color indexed="81"/>
            <rFont val="Tahoma"/>
            <family val="2"/>
          </rPr>
          <t xml:space="preserve">
Este es el costo que costaría reconstruir el proyecto en su estado actual. No incluye el costo del terreno.</t>
        </r>
      </text>
    </comment>
    <comment ref="L9" authorId="0" shapeId="0" xr:uid="{5C06029D-E120-4B15-A4E2-AEB719E60F13}">
      <text>
        <r>
          <rPr>
            <b/>
            <sz val="9"/>
            <color indexed="81"/>
            <rFont val="Tahoma"/>
            <family val="2"/>
          </rPr>
          <t>Andrés Abarca Jiménez:</t>
        </r>
        <r>
          <rPr>
            <sz val="9"/>
            <color indexed="81"/>
            <rFont val="Tahoma"/>
            <family val="2"/>
          </rPr>
          <t xml:space="preserve">
Este campo representa el estado actual de la obra.
* Vulnerabilidad </t>
        </r>
        <r>
          <rPr>
            <b/>
            <sz val="9"/>
            <color indexed="81"/>
            <rFont val="Tahoma"/>
            <family val="2"/>
          </rPr>
          <t>Alta:</t>
        </r>
        <r>
          <rPr>
            <sz val="9"/>
            <color indexed="81"/>
            <rFont val="Tahoma"/>
            <family val="2"/>
          </rPr>
          <t xml:space="preserve"> La obra está en mal estado
* Vulnerabilidad </t>
        </r>
        <r>
          <rPr>
            <b/>
            <sz val="9"/>
            <color indexed="81"/>
            <rFont val="Tahoma"/>
            <family val="2"/>
          </rPr>
          <t>Promedio:</t>
        </r>
        <r>
          <rPr>
            <sz val="9"/>
            <color indexed="81"/>
            <rFont val="Tahoma"/>
            <family val="2"/>
          </rPr>
          <t xml:space="preserve"> La obra está en relativas buenas condiciones
* Vulnerabilidad </t>
        </r>
        <r>
          <rPr>
            <b/>
            <sz val="9"/>
            <color indexed="81"/>
            <rFont val="Tahoma"/>
            <family val="2"/>
          </rPr>
          <t>Baja:</t>
        </r>
        <r>
          <rPr>
            <sz val="9"/>
            <color indexed="81"/>
            <rFont val="Tahoma"/>
            <family val="2"/>
          </rPr>
          <t xml:space="preserve"> La obra está en excelentes condiciones</t>
        </r>
      </text>
    </comment>
    <comment ref="N9" authorId="0" shapeId="0" xr:uid="{7FA511E0-52BC-4E68-8E03-D068292BA240}">
      <text>
        <r>
          <rPr>
            <b/>
            <sz val="9"/>
            <color indexed="81"/>
            <rFont val="Tahoma"/>
            <family val="2"/>
          </rPr>
          <t>Andrés Abarca Jiménez:</t>
        </r>
        <r>
          <rPr>
            <sz val="9"/>
            <color indexed="81"/>
            <rFont val="Tahoma"/>
            <family val="2"/>
          </rPr>
          <t xml:space="preserve">
</t>
        </r>
        <r>
          <rPr>
            <b/>
            <sz val="9"/>
            <color indexed="81"/>
            <rFont val="Tahoma"/>
            <family val="2"/>
          </rPr>
          <t>Pérdida económica anual promedio</t>
        </r>
        <r>
          <rPr>
            <sz val="9"/>
            <color indexed="81"/>
            <rFont val="Tahoma"/>
            <family val="2"/>
          </rPr>
          <t>. Este campo representa el costo anual promedio de reparar daños causados por desastres bajo el escenario de riesgo actual.</t>
        </r>
      </text>
    </comment>
    <comment ref="O9" authorId="0" shapeId="0" xr:uid="{76CEF1D8-831A-4A82-8D4D-81C56B8F1237}">
      <text>
        <r>
          <rPr>
            <b/>
            <sz val="9"/>
            <color indexed="81"/>
            <rFont val="Tahoma"/>
            <family val="2"/>
          </rPr>
          <t>Andrés Abarca Jiménez:</t>
        </r>
        <r>
          <rPr>
            <sz val="9"/>
            <color indexed="81"/>
            <rFont val="Tahoma"/>
            <family val="2"/>
          </rPr>
          <t xml:space="preserve">
Intervensión correctiva a llevar a cabo, ver lista completa en la pestaña de </t>
        </r>
        <r>
          <rPr>
            <b/>
            <sz val="9"/>
            <color indexed="81"/>
            <rFont val="Tahoma"/>
            <family val="2"/>
          </rPr>
          <t>"Intervenciones"</t>
        </r>
      </text>
    </comment>
    <comment ref="P9" authorId="0" shapeId="0" xr:uid="{90370E48-0A66-4647-8EF9-A99AF5D0787B}">
      <text>
        <r>
          <rPr>
            <b/>
            <sz val="9"/>
            <color indexed="81"/>
            <rFont val="Tahoma"/>
            <family val="2"/>
          </rPr>
          <t>Andrés Abarca Jiménez:</t>
        </r>
        <r>
          <rPr>
            <sz val="9"/>
            <color indexed="81"/>
            <rFont val="Tahoma"/>
            <family val="2"/>
          </rPr>
          <t xml:space="preserve">
Costo económico asociado a la intervención correctiva elegida. Ver factores en la pestaña de </t>
        </r>
        <r>
          <rPr>
            <b/>
            <sz val="9"/>
            <color indexed="81"/>
            <rFont val="Tahoma"/>
            <family val="2"/>
          </rPr>
          <t>"Intervenciones"</t>
        </r>
      </text>
    </comment>
    <comment ref="T9" authorId="0" shapeId="0" xr:uid="{A03BFF9A-E263-4165-BE84-2A6C9EF89C75}">
      <text>
        <r>
          <rPr>
            <b/>
            <sz val="9"/>
            <color indexed="81"/>
            <rFont val="Tahoma"/>
            <family val="2"/>
          </rPr>
          <t>Andrés Abarca Jiménez:</t>
        </r>
        <r>
          <rPr>
            <sz val="9"/>
            <color indexed="81"/>
            <rFont val="Tahoma"/>
            <family val="2"/>
          </rPr>
          <t xml:space="preserve">
Vida útil estimada del proyecto luego de implementadas las intervenciones propuestas</t>
        </r>
      </text>
    </comment>
    <comment ref="U9" authorId="0" shapeId="0" xr:uid="{F2C4F473-8366-4ED8-B094-B136BD52CA74}">
      <text>
        <r>
          <rPr>
            <b/>
            <sz val="9"/>
            <color indexed="81"/>
            <rFont val="Tahoma"/>
            <family val="2"/>
          </rPr>
          <t>Andrés Abarca Jiménez:</t>
        </r>
        <r>
          <rPr>
            <sz val="9"/>
            <color indexed="81"/>
            <rFont val="Tahoma"/>
            <family val="2"/>
          </rPr>
          <t xml:space="preserve">
Es la tasa de interés anual utilizada para calcular el valor actual de un monto económico futuro.</t>
        </r>
      </text>
    </comment>
    <comment ref="V9" authorId="0" shapeId="0" xr:uid="{94F12D5B-49E8-4442-BBD7-CACDD4801A6B}">
      <text>
        <r>
          <rPr>
            <b/>
            <sz val="9"/>
            <color indexed="81"/>
            <rFont val="Tahoma"/>
            <family val="2"/>
          </rPr>
          <t>Andrés Abarca Jiménez:</t>
        </r>
        <r>
          <rPr>
            <sz val="9"/>
            <color indexed="81"/>
            <rFont val="Tahoma"/>
            <family val="2"/>
          </rPr>
          <t xml:space="preserve">
</t>
        </r>
        <r>
          <rPr>
            <b/>
            <sz val="9"/>
            <color indexed="81"/>
            <rFont val="Tahoma"/>
            <family val="2"/>
          </rPr>
          <t>Valor Presente Neto</t>
        </r>
        <r>
          <rPr>
            <sz val="9"/>
            <color indexed="81"/>
            <rFont val="Tahoma"/>
            <family val="2"/>
          </rPr>
          <t>. Representa el valor equivalente de los beneficios futuros traídos a un monto global en el presente.</t>
        </r>
      </text>
    </comment>
  </commentList>
</comments>
</file>

<file path=xl/sharedStrings.xml><?xml version="1.0" encoding="utf-8"?>
<sst xmlns="http://schemas.openxmlformats.org/spreadsheetml/2006/main" count="850" uniqueCount="270">
  <si>
    <t>Acueductos</t>
  </si>
  <si>
    <t>Educación</t>
  </si>
  <si>
    <t>Energía</t>
  </si>
  <si>
    <t>Residencial</t>
  </si>
  <si>
    <t>Salud</t>
  </si>
  <si>
    <t>Transporte</t>
  </si>
  <si>
    <t>canton</t>
  </si>
  <si>
    <t>Abangares</t>
  </si>
  <si>
    <t>Acosta</t>
  </si>
  <si>
    <t>Alajuela</t>
  </si>
  <si>
    <t>Alajuelita</t>
  </si>
  <si>
    <t>Alvarado</t>
  </si>
  <si>
    <t>Aserrí</t>
  </si>
  <si>
    <t>Atenas</t>
  </si>
  <si>
    <t>Bagaces</t>
  </si>
  <si>
    <t>Barva</t>
  </si>
  <si>
    <t>Belén</t>
  </si>
  <si>
    <t>Carrillo</t>
  </si>
  <si>
    <t>Cartago</t>
  </si>
  <si>
    <t>Cañas</t>
  </si>
  <si>
    <t>Corredores</t>
  </si>
  <si>
    <t>Curridabat</t>
  </si>
  <si>
    <t>Desamparados</t>
  </si>
  <si>
    <t>Dota</t>
  </si>
  <si>
    <t>Escazú</t>
  </si>
  <si>
    <t>Esparza</t>
  </si>
  <si>
    <t>Flores</t>
  </si>
  <si>
    <t>Garabito</t>
  </si>
  <si>
    <t>Goicoechea</t>
  </si>
  <si>
    <t>Golfito</t>
  </si>
  <si>
    <t>Grecia</t>
  </si>
  <si>
    <t>Guatuso</t>
  </si>
  <si>
    <t>Guácimo</t>
  </si>
  <si>
    <t>Heredia</t>
  </si>
  <si>
    <t>Hojancha</t>
  </si>
  <si>
    <t>Jiménez</t>
  </si>
  <si>
    <t>Liberia</t>
  </si>
  <si>
    <t>Limón</t>
  </si>
  <si>
    <t>Matina</t>
  </si>
  <si>
    <t>Mora</t>
  </si>
  <si>
    <t>Moravia</t>
  </si>
  <si>
    <t>Nandayure</t>
  </si>
  <si>
    <t>Naranjo</t>
  </si>
  <si>
    <t>Nicoya</t>
  </si>
  <si>
    <t>Oreamuno</t>
  </si>
  <si>
    <t>Orotina</t>
  </si>
  <si>
    <t>Osa</t>
  </si>
  <si>
    <t>Palmares</t>
  </si>
  <si>
    <t>Paraíso</t>
  </si>
  <si>
    <t>Parrita</t>
  </si>
  <si>
    <t>Pococí</t>
  </si>
  <si>
    <t>Poás</t>
  </si>
  <si>
    <t>Puntarenas</t>
  </si>
  <si>
    <t>Puriscal</t>
  </si>
  <si>
    <t>Quepos</t>
  </si>
  <si>
    <t>Sarapiquí</t>
  </si>
  <si>
    <t>Sarchí</t>
  </si>
  <si>
    <t>Siquirres</t>
  </si>
  <si>
    <t>Talamanca</t>
  </si>
  <si>
    <t>Tarrazú</t>
  </si>
  <si>
    <t>Tibás</t>
  </si>
  <si>
    <t>Tilarán</t>
  </si>
  <si>
    <t>Turrialba</t>
  </si>
  <si>
    <t>Turrubares</t>
  </si>
  <si>
    <t>Upala</t>
  </si>
  <si>
    <t>Zarcero</t>
  </si>
  <si>
    <t>Guanacaste</t>
  </si>
  <si>
    <t>Provincia</t>
  </si>
  <si>
    <t>Cantón</t>
  </si>
  <si>
    <t>Sector</t>
  </si>
  <si>
    <t>San_Isidro</t>
  </si>
  <si>
    <t>San_Jose</t>
  </si>
  <si>
    <t>San_Rafael</t>
  </si>
  <si>
    <t>Santo_Domingo</t>
  </si>
  <si>
    <t>La_Cruz</t>
  </si>
  <si>
    <t>Los_Chiles</t>
  </si>
  <si>
    <t>Buenos_Aires</t>
  </si>
  <si>
    <t>Río_Cuarto</t>
  </si>
  <si>
    <t>San_Carlos</t>
  </si>
  <si>
    <t>San_José</t>
  </si>
  <si>
    <t>San_Mateo</t>
  </si>
  <si>
    <t>San_Ramón</t>
  </si>
  <si>
    <t>Santa_Ana</t>
  </si>
  <si>
    <t>Santa_Bárbara</t>
  </si>
  <si>
    <t>El_Guarco</t>
  </si>
  <si>
    <t>La_Unión</t>
  </si>
  <si>
    <t>Pérez_Zeledón</t>
  </si>
  <si>
    <t>Santa_Cruz</t>
  </si>
  <si>
    <t>Vázquez_de_Coronado</t>
  </si>
  <si>
    <t>San_Pablo</t>
  </si>
  <si>
    <t>Coto_Brus</t>
  </si>
  <si>
    <t>Montes_de_Oro</t>
  </si>
  <si>
    <t>León_Cortés_Castro</t>
  </si>
  <si>
    <t>Montes_de_Oca</t>
  </si>
  <si>
    <t>Sectores</t>
  </si>
  <si>
    <t>Sample Size</t>
  </si>
  <si>
    <t>AALR Promedio</t>
  </si>
  <si>
    <t>Desv. Estándar</t>
  </si>
  <si>
    <t>AAL Ref.</t>
  </si>
  <si>
    <t>AALR Min</t>
  </si>
  <si>
    <t>Promedio</t>
  </si>
  <si>
    <t>Intervención</t>
  </si>
  <si>
    <t>Costo Intervención</t>
  </si>
  <si>
    <t>AALR Reducido</t>
  </si>
  <si>
    <t>AALR Ref.</t>
  </si>
  <si>
    <t>AAL Reducido</t>
  </si>
  <si>
    <t>Vida útil (años)</t>
  </si>
  <si>
    <t>Tasa descuento</t>
  </si>
  <si>
    <t>VPN</t>
  </si>
  <si>
    <t>Vulnerabilidad</t>
  </si>
  <si>
    <t>Alta</t>
  </si>
  <si>
    <t>Baja</t>
  </si>
  <si>
    <t>Costo total del inventario</t>
  </si>
  <si>
    <t>Inversión total</t>
  </si>
  <si>
    <t>Pérdidas anuales base</t>
  </si>
  <si>
    <t>Beneficio total</t>
  </si>
  <si>
    <t>Beneficio/Costo</t>
  </si>
  <si>
    <t>Beneficio/Costo total</t>
  </si>
  <si>
    <t>Ahorro anual estimado</t>
  </si>
  <si>
    <t>ton CO2 ahorro</t>
  </si>
  <si>
    <t>Ahorro social</t>
  </si>
  <si>
    <t>Beneficio social CO2</t>
  </si>
  <si>
    <t>Tasa beneficio social</t>
  </si>
  <si>
    <t>Conversión $-kgCO2</t>
  </si>
  <si>
    <t>Costo social tonCO2</t>
  </si>
  <si>
    <t>Residencial_baja</t>
  </si>
  <si>
    <t>Residencial_media</t>
  </si>
  <si>
    <t>Residencial_alta</t>
  </si>
  <si>
    <t>Precios Sociales en Costa Rica, MIDEPLAN (2025)</t>
  </si>
  <si>
    <t>Marco Global de Evaluación del Riesgo (GRAF), CNE UNDRR (2023)</t>
  </si>
  <si>
    <t>Unidad</t>
  </si>
  <si>
    <t>m2</t>
  </si>
  <si>
    <t>Tipología</t>
  </si>
  <si>
    <t>Centro_educativo_rural</t>
  </si>
  <si>
    <t>Centro_educativo_urbano</t>
  </si>
  <si>
    <t>EBAIS</t>
  </si>
  <si>
    <t>Clinica</t>
  </si>
  <si>
    <t>Hospital</t>
  </si>
  <si>
    <t>Carretera_asfalto_2carriles</t>
  </si>
  <si>
    <t>Carretera_asfalto_3carriles</t>
  </si>
  <si>
    <t>Carretera_asfalto_4carriles</t>
  </si>
  <si>
    <t>Carretera_concreto_2carriles</t>
  </si>
  <si>
    <t>Carretera_concreto_4carriles</t>
  </si>
  <si>
    <t>Carretera_concreto_3carriles</t>
  </si>
  <si>
    <t>km</t>
  </si>
  <si>
    <t>Camino_lastre</t>
  </si>
  <si>
    <t>Costo_unit_USD</t>
  </si>
  <si>
    <t>Unidad de Medida</t>
  </si>
  <si>
    <t>Cantidad</t>
  </si>
  <si>
    <t>Costo Unitario</t>
  </si>
  <si>
    <t>Costo de Reposición</t>
  </si>
  <si>
    <t>-</t>
  </si>
  <si>
    <t>Hoja de Instrucciones y Suposiciones Metodológicas</t>
  </si>
  <si>
    <t>Objetivo de la Herramienta</t>
  </si>
  <si>
    <t>ID</t>
  </si>
  <si>
    <t>Referencias</t>
  </si>
  <si>
    <t>Datos estadísticos de pérdidas</t>
  </si>
  <si>
    <t>Beneficios sociales</t>
  </si>
  <si>
    <t>Provincias</t>
  </si>
  <si>
    <t>Cantones</t>
  </si>
  <si>
    <t>Beneficio social</t>
  </si>
  <si>
    <t>Resumen por Provincia</t>
  </si>
  <si>
    <t>Inversión ($)</t>
  </si>
  <si>
    <t>Resumen por Sector</t>
  </si>
  <si>
    <t>Costo Reposición ($)</t>
  </si>
  <si>
    <t>Ahorro ($)</t>
  </si>
  <si>
    <t>Costos de Referencia</t>
  </si>
  <si>
    <t>Notas</t>
  </si>
  <si>
    <t>Estos costos son de referencia, basados en valores típicos de construcción en Costa Rica para el 2025</t>
  </si>
  <si>
    <t>Campo editable</t>
  </si>
  <si>
    <t>Resumen de Resultados</t>
  </si>
  <si>
    <t xml:space="preserve">Input de Portafolio </t>
  </si>
  <si>
    <t>Descripción</t>
  </si>
  <si>
    <t>Factor_Costo</t>
  </si>
  <si>
    <t>Factor_Beneficio</t>
  </si>
  <si>
    <t>Mantenimiento Correctivo Menor</t>
  </si>
  <si>
    <t>Reparación de techos/cielos y sistemas eléctricos</t>
  </si>
  <si>
    <t>Reforzamiento Estructural (Retrofitting)</t>
  </si>
  <si>
    <t>Reconstrucción Total (Código Actual)</t>
  </si>
  <si>
    <t>Demolición y construcción nueva bajo código vigente</t>
  </si>
  <si>
    <t>Reforzamiento No Estructural</t>
  </si>
  <si>
    <t>Aseguramiento de equipos/cielos/fachadas</t>
  </si>
  <si>
    <t>Reforzamiento Estructural Integral</t>
  </si>
  <si>
    <t>Refuerzo completo para seguridad de la vida y operación</t>
  </si>
  <si>
    <t>Reconstrucción Hospitalaria</t>
  </si>
  <si>
    <t>Nueva edificación de alta complejidad</t>
  </si>
  <si>
    <t>Estabilización de Taludes</t>
  </si>
  <si>
    <t>Muros de contención y anclajes en puntos críticos</t>
  </si>
  <si>
    <t>Mejora de Sistemas de Drenaje</t>
  </si>
  <si>
    <t>Ampliación de alcantarillas y cunetas</t>
  </si>
  <si>
    <t>Rehabilitación Mayor (Recarpeteo)</t>
  </si>
  <si>
    <t>Mejora de Techos y Drenajes</t>
  </si>
  <si>
    <t>Reparación de cubiertas y bajantes</t>
  </si>
  <si>
    <t>Reconstrucción (Vivienda Nueva)</t>
  </si>
  <si>
    <t>Reforzamiento de Sistema Estructural</t>
  </si>
  <si>
    <t>Refuerzo de sistema estructural según código sísmico</t>
  </si>
  <si>
    <t>Sustitución de base y carpeta asfáltica/concreto</t>
  </si>
  <si>
    <t>1. Definición del Activo (Columnas A-E)</t>
  </si>
  <si>
    <r>
      <t>Sector (Col D):</t>
    </r>
    <r>
      <rPr>
        <sz val="11"/>
        <color theme="1"/>
        <rFont val="Calibri"/>
        <family val="2"/>
        <scheme val="minor"/>
      </rPr>
      <t xml:space="preserve"> Seleccione uno de los 4 sectores disponibles: </t>
    </r>
    <r>
      <rPr>
        <b/>
        <sz val="11"/>
        <color theme="1"/>
        <rFont val="Calibri"/>
        <family val="2"/>
        <scheme val="minor"/>
      </rPr>
      <t>Educación, Salud, Residencial o Transporte</t>
    </r>
    <r>
      <rPr>
        <sz val="11"/>
        <color theme="1"/>
        <rFont val="Calibri"/>
        <family val="2"/>
        <scheme val="minor"/>
      </rPr>
      <t>.</t>
    </r>
  </si>
  <si>
    <t>2. Perfil de Riesgo Base (Columna J)</t>
  </si>
  <si>
    <t>3. Selección de la Intervención (Columna M) - ¡IMPORTANTE!</t>
  </si>
  <si>
    <t>Suposiciones Metodológicas (Versión 3.0)</t>
  </si>
  <si>
    <t>Esta calculadora ha sido diseñada como un instrumento de apoyo a la toma de decisiones para priorizar inversiones de reducción de riesgo en infraestructura física (vertical y vial) en Costa Rica. Su propósito principal es trascender la evaluación puramente financiera, integrando métricas de riesgo de desastres y sostenibilidad ambiental.</t>
  </si>
  <si>
    <r>
      <t xml:space="preserve">La herramienta estima la </t>
    </r>
    <r>
      <rPr>
        <b/>
        <sz val="11"/>
        <color theme="1"/>
        <rFont val="Calibri"/>
        <family val="2"/>
        <scheme val="minor"/>
      </rPr>
      <t>Pérdida Anual Promedio (AAL)</t>
    </r>
    <r>
      <rPr>
        <sz val="11"/>
        <color theme="1"/>
        <rFont val="Calibri"/>
        <family val="2"/>
        <scheme val="minor"/>
      </rPr>
      <t xml:space="preserve"> basándose en el perfil estadístico probabilista de cada Cantón (utilizando datos del GRAF) y realiza un Análisis Costo-Beneficio (CBA) integral. Esto permite comparar la rentabilidad de una intervención preventiva (reforzamiento, reconstrucción, mejoras) frente al costo futuro probable de los desastres y el impacto ambiental de la reconstrucción.</t>
    </r>
  </si>
  <si>
    <t>Esta sección establece la "línea base" del activo antes de cualquier intervención.</t>
  </si>
  <si>
    <r>
      <t>ID (Col A):</t>
    </r>
    <r>
      <rPr>
        <sz val="11"/>
        <color theme="1"/>
        <rFont val="Calibri"/>
        <family val="2"/>
        <scheme val="minor"/>
      </rPr>
      <t xml:space="preserve"> Ingrese un identificador único alfanumérico (Ej: "Escuela San José 01" o código de activo institucional). Mantener una nomenclatura consistente facilita el rastreo de versiones del portafolio.</t>
    </r>
  </si>
  <si>
    <r>
      <t>Ubicación (Cols B-C):</t>
    </r>
    <r>
      <rPr>
        <sz val="11"/>
        <color theme="1"/>
        <rFont val="Calibri"/>
        <family val="2"/>
        <scheme val="minor"/>
      </rPr>
      <t xml:space="preserve"> Seleccione primero la Provincia y luego el Cantón.</t>
    </r>
  </si>
  <si>
    <r>
      <t>Importancia:</t>
    </r>
    <r>
      <rPr>
        <sz val="11"/>
        <color theme="1"/>
        <rFont val="Calibri"/>
        <family val="2"/>
        <scheme val="minor"/>
      </rPr>
      <t xml:space="preserve"> Es crucial usar los menús desplegables. La herramienta utiliza esta ubicación geográfica para extraer las tasas de riesgo (AALR) específicas de la base de datos GRAF. Un error aquí asignará un perfil de amenaza sísmica o hidrometeorológica incorrecto.</t>
    </r>
  </si>
  <si>
    <r>
      <t>Nota:</t>
    </r>
    <r>
      <rPr>
        <sz val="11"/>
        <color theme="1"/>
        <rFont val="Calibri"/>
        <family val="2"/>
        <scheme val="minor"/>
      </rPr>
      <t xml:space="preserve"> Esta selección actúa como un filtro maestro. Determina qué tipos de intervenciones técnicas estarán disponibles en los pasos posteriores y qué estadísticas de exposición se utilizarán. (Sectores de redes como Acueductos y Energía no están incluidos en esta versión).</t>
    </r>
  </si>
  <si>
    <r>
      <t>Costo Reposición (Col E):</t>
    </r>
    <r>
      <rPr>
        <sz val="11"/>
        <color theme="1"/>
        <rFont val="Calibri"/>
        <family val="2"/>
        <scheme val="minor"/>
      </rPr>
      <t xml:space="preserve"> Ingrese el valor monetario total del activo si tuviera que construirse hoy desde cero (Valor a Nuevo).</t>
    </r>
  </si>
  <si>
    <r>
      <t>Tip:</t>
    </r>
    <r>
      <rPr>
        <sz val="11"/>
        <color theme="1"/>
        <rFont val="Calibri"/>
        <family val="2"/>
        <scheme val="minor"/>
      </rPr>
      <t xml:space="preserve"> No incluya el valor del terreno, solo el costo directo de la construcción física expuesta al riesgo. Puede utilizar la hoja auxiliar "Costos de Reposicion" para estimar este valor basado en metros cuadrados o kilómetros lineales.</t>
    </r>
  </si>
  <si>
    <t>Aquí se calibra el modelo estadístico según la realidad física específica del activo.</t>
  </si>
  <si>
    <r>
      <t>Vulnerabilidad:</t>
    </r>
    <r>
      <rPr>
        <sz val="11"/>
        <color theme="1"/>
        <rFont val="Calibri"/>
        <family val="2"/>
        <scheme val="minor"/>
      </rPr>
      <t xml:space="preserve"> Seleccione el nivel que mejor describa la condición estructural actual:</t>
    </r>
  </si>
  <si>
    <r>
      <t>Promedio:</t>
    </r>
    <r>
      <rPr>
        <sz val="11"/>
        <color theme="1"/>
        <rFont val="Calibri"/>
        <family val="2"/>
        <scheme val="minor"/>
      </rPr>
      <t xml:space="preserve"> Para activos estándar que cumplen parcialmente con normativas o tienen un mantenimiento regular. (Utiliza el AALR promedio histórico del cantón).</t>
    </r>
  </si>
  <si>
    <r>
      <t>Alta:</t>
    </r>
    <r>
      <rPr>
        <sz val="11"/>
        <color theme="1"/>
        <rFont val="Calibri"/>
        <family val="2"/>
        <scheme val="minor"/>
      </rPr>
      <t xml:space="preserve"> Para activos antiguos, sin diseño sísmico, con deterioro material visible o ubicados en zonas de alta exposición local. (La herramienta penaliza el activo aumentando su riesgo base mediante la desviación estándar estadística).</t>
    </r>
  </si>
  <si>
    <r>
      <t>Baja:</t>
    </r>
    <r>
      <rPr>
        <sz val="11"/>
        <color theme="1"/>
        <rFont val="Calibri"/>
        <family val="2"/>
        <scheme val="minor"/>
      </rPr>
      <t xml:space="preserve"> Para activos modernos, diseñados bajo el Código Sísmico de Costa Rica vigente o con mantenimiento preventivo de excelencia. (La herramienta reduce el riesgo base, asumiendo un mejor desempeño ante eventos).</t>
    </r>
  </si>
  <si>
    <t>Esta es la fase de diseño del proyecto de mitigación.</t>
  </si>
  <si>
    <r>
      <t>Lista Dinámica Inteligente:</t>
    </r>
    <r>
      <rPr>
        <sz val="11"/>
        <color theme="1"/>
        <rFont val="Calibri"/>
        <family val="2"/>
        <scheme val="minor"/>
      </rPr>
      <t xml:space="preserve"> Las opciones desplegables en esta columna </t>
    </r>
    <r>
      <rPr>
        <b/>
        <sz val="11"/>
        <color theme="1"/>
        <rFont val="Calibri"/>
        <family val="2"/>
        <scheme val="minor"/>
      </rPr>
      <t>dependen directamente del Sector</t>
    </r>
    <r>
      <rPr>
        <sz val="11"/>
        <color theme="1"/>
        <rFont val="Calibri"/>
        <family val="2"/>
        <scheme val="minor"/>
      </rPr>
      <t xml:space="preserve"> elegido en la Columna D.</t>
    </r>
  </si>
  <si>
    <r>
      <t>Resolución de problemas:</t>
    </r>
    <r>
      <rPr>
        <sz val="11"/>
        <color theme="1"/>
        <rFont val="Calibri"/>
        <family val="2"/>
        <scheme val="minor"/>
      </rPr>
      <t xml:space="preserve"> Si la celda parece bloqueada o vacía, verifique que haya seleccionado un Sector válido en la Columna D primero.</t>
    </r>
  </si>
  <si>
    <r>
      <t>1. Costo de la Obra (Col N):</t>
    </r>
    <r>
      <rPr>
        <sz val="11"/>
        <color theme="1"/>
        <rFont val="Calibri"/>
        <family val="2"/>
        <scheme val="minor"/>
      </rPr>
      <t xml:space="preserve"> Calcula la inversión requerida como un porcentaje del valor de reposición (Ej: Un "Retrofitting" podría costar el 35% del valor del edificio).</t>
    </r>
  </si>
  <si>
    <r>
      <t>2. Reducción de Riesgo (Col O):</t>
    </r>
    <r>
      <rPr>
        <sz val="11"/>
        <color theme="1"/>
        <rFont val="Calibri"/>
        <family val="2"/>
        <scheme val="minor"/>
      </rPr>
      <t xml:space="preserve"> Aplica un factor de mitigación basado en la eficacia técnica de la obra (Ej: Cuánto daño anual evita esta intervención específica).</t>
    </r>
  </si>
  <si>
    <t>4. Evaluación Financiera y Resultados (Columnas Q-V)</t>
  </si>
  <si>
    <t>Parámetros Financieros:</t>
  </si>
  <si>
    <r>
      <t>Vida Útil (Col Q):</t>
    </r>
    <r>
      <rPr>
        <sz val="11"/>
        <color theme="1"/>
        <rFont val="Calibri"/>
        <family val="2"/>
        <scheme val="minor"/>
      </rPr>
      <t xml:space="preserve"> Ingrese el horizonte de tiempo en años durante el cual la obra será efectiva (Ej: 15 años para mantenimiento mayor, 50 años para obra nueva).</t>
    </r>
  </si>
  <si>
    <t>Interpretación de Resultados:</t>
  </si>
  <si>
    <r>
      <t>VPN (Valor Presente Neto):</t>
    </r>
    <r>
      <rPr>
        <sz val="11"/>
        <color theme="1"/>
        <rFont val="Calibri"/>
        <family val="2"/>
        <scheme val="minor"/>
      </rPr>
      <t xml:space="preserve"> La suma de todos los ahorros futuros (financieros y sociales) menos la inversión inicial. Un valor positivo indica que el proyecto crea valor.</t>
    </r>
  </si>
  <si>
    <r>
      <t>Beneficio/Costo (Col V):</t>
    </r>
    <r>
      <rPr>
        <sz val="11"/>
        <color theme="1"/>
        <rFont val="Calibri"/>
        <family val="2"/>
        <scheme val="minor"/>
      </rPr>
      <t xml:space="preserve"> Un ratio superior a 1.0 indica que por cada dólar invertido, se recupera más de un dólar en pérdidas evitadas y beneficios ambientales.</t>
    </r>
  </si>
  <si>
    <r>
      <t>3. Piso de Riesgo (Risk Floor):</t>
    </r>
    <r>
      <rPr>
        <sz val="11"/>
        <color theme="1"/>
        <rFont val="Calibri"/>
        <family val="2"/>
        <scheme val="minor"/>
      </rPr>
      <t xml:space="preserve"> Se asume conservadoramente que </t>
    </r>
    <r>
      <rPr>
        <b/>
        <sz val="11"/>
        <color theme="1"/>
        <rFont val="Calibri"/>
        <family val="2"/>
        <scheme val="minor"/>
      </rPr>
      <t>ninguna intervención elimina el riesgo al 100%</t>
    </r>
    <r>
      <rPr>
        <sz val="11"/>
        <color theme="1"/>
        <rFont val="Calibri"/>
        <family val="2"/>
        <scheme val="minor"/>
      </rPr>
      <t>. La naturaleza de las amenazas naturales implica que siempre existe un riesgo residual. La herramienta establece un límite inferior técnico (AALR = 0.001) que no puede ser eliminado, asegurando que los beneficios no sean sobreestimados irrealistamente.</t>
    </r>
  </si>
  <si>
    <r>
      <t>4. Valoración del Carbono (Sostenibilidad):</t>
    </r>
    <r>
      <rPr>
        <sz val="11"/>
        <color theme="1"/>
        <rFont val="Calibri"/>
        <family val="2"/>
        <scheme val="minor"/>
      </rPr>
      <t xml:space="preserve"> El modelo cuantifica el </t>
    </r>
    <r>
      <rPr>
        <b/>
        <sz val="11"/>
        <color theme="1"/>
        <rFont val="Calibri"/>
        <family val="2"/>
        <scheme val="minor"/>
      </rPr>
      <t>"Carbono Incorporado Evitado"</t>
    </r>
    <r>
      <rPr>
        <sz val="11"/>
        <color theme="1"/>
        <rFont val="Calibri"/>
        <family val="2"/>
        <scheme val="minor"/>
      </rPr>
      <t>. La lógica es que, al evitar que una infraestructura se dañe o colapse, se evitan las emisiones de CO2 asociadas con la fabricación de materiales (cemento, acero) y el transporte necesarios para su reconstrucción.</t>
    </r>
  </si>
  <si>
    <r>
      <t>Factor de Conversión:</t>
    </r>
    <r>
      <rPr>
        <sz val="11"/>
        <color theme="1"/>
        <rFont val="Calibri"/>
        <family val="2"/>
        <scheme val="minor"/>
      </rPr>
      <t xml:space="preserve"> 1.0 kg CO2e emitido por cada $1 USD de infraestructura destruida/reconstruida.</t>
    </r>
  </si>
  <si>
    <r>
      <t>Precio Social del Carbono:</t>
    </r>
    <r>
      <rPr>
        <sz val="11"/>
        <color theme="1"/>
        <rFont val="Calibri"/>
        <family val="2"/>
        <scheme val="minor"/>
      </rPr>
      <t xml:space="preserve"> $40 USD por tonelada métrica. Este valor es ajustable en la hoja "Listas" y representa el costo económico del daño ambiental evitado, sumándose al beneficio financiero del proyecto.</t>
    </r>
  </si>
  <si>
    <r>
      <t>Cálculo Automático:</t>
    </r>
    <r>
      <rPr>
        <sz val="11"/>
        <color theme="1"/>
        <rFont val="Calibri"/>
        <family val="2"/>
        <scheme val="minor"/>
      </rPr>
      <t xml:space="preserve"> Al seleccionar una intervención, la herramienta consulta el </t>
    </r>
    <r>
      <rPr>
        <b/>
        <sz val="11"/>
        <color theme="1"/>
        <rFont val="Calibri"/>
        <family val="2"/>
        <scheme val="minor"/>
      </rPr>
      <t>Catálogo Técnico</t>
    </r>
    <r>
      <rPr>
        <sz val="11"/>
        <color theme="1"/>
        <rFont val="Calibri"/>
        <family val="2"/>
        <scheme val="minor"/>
      </rPr>
      <t xml:space="preserve"> (hoja "Intervenciones") y aplica automáticamente dos factores clave sin necesidad de input manual:</t>
    </r>
  </si>
  <si>
    <t>Intervenciones</t>
  </si>
  <si>
    <t>Ahorro anual</t>
  </si>
  <si>
    <t>Herramienta de Evaluación de Costo-Beneficio de Intervenciones para la Reducción de Riesgo Catastrófico</t>
  </si>
  <si>
    <t>Proyecto</t>
  </si>
  <si>
    <t>Escuela Colorado</t>
  </si>
  <si>
    <t>43754-EP-FNE-014</t>
  </si>
  <si>
    <t>Escuela Mercedes</t>
  </si>
  <si>
    <t>43752-EP-FNE-021</t>
  </si>
  <si>
    <t>Costo Reposición</t>
  </si>
  <si>
    <t>CONAVI-CA-001</t>
  </si>
  <si>
    <t>Carreteras San Carlos</t>
  </si>
  <si>
    <t>Liceo Finca Alajuela</t>
  </si>
  <si>
    <t>43754-EP-FNE-037</t>
  </si>
  <si>
    <t>Centro Educativo Victoriano Mena</t>
  </si>
  <si>
    <t>MEP-CE-034</t>
  </si>
  <si>
    <t xml:space="preserve"> </t>
  </si>
  <si>
    <t>Ejemplo</t>
  </si>
  <si>
    <r>
      <t>¿Qué tipo de estructuras evalúa esta herramienta?</t>
    </r>
    <r>
      <rPr>
        <sz val="11"/>
        <color theme="1"/>
        <rFont val="Calibri"/>
        <family val="2"/>
        <scheme val="minor"/>
      </rPr>
      <t xml:space="preserve"> El modelo está calibrado exclusivamente para las siguientes tipologías, basándose en la información disponible en el GRAF:</t>
    </r>
  </si>
  <si>
    <t>1. Infraestructura Vertical (Edificaciones):</t>
  </si>
  <si>
    <r>
      <t>Educación:</t>
    </r>
    <r>
      <rPr>
        <sz val="11"/>
        <color theme="1"/>
        <rFont val="Calibri"/>
        <family val="2"/>
        <scheme val="minor"/>
      </rPr>
      <t xml:space="preserve"> Centros educativos, aulas, comedores y gimnasios escolares.</t>
    </r>
  </si>
  <si>
    <r>
      <t>Salud:</t>
    </r>
    <r>
      <rPr>
        <sz val="11"/>
        <color theme="1"/>
        <rFont val="Calibri"/>
        <family val="2"/>
        <scheme val="minor"/>
      </rPr>
      <t xml:space="preserve"> EBAIS, clínicas, áreas de salud y hospitales.</t>
    </r>
  </si>
  <si>
    <r>
      <t>Residencial:</t>
    </r>
    <r>
      <rPr>
        <sz val="11"/>
        <color theme="1"/>
        <rFont val="Calibri"/>
        <family val="2"/>
        <scheme val="minor"/>
      </rPr>
      <t xml:space="preserve"> Viviendas individuales, proyectos de bono familiar y reasentamientos.</t>
    </r>
  </si>
  <si>
    <t>2. Infraestructura Vial (Transporte):</t>
  </si>
  <si>
    <r>
      <t>Red Vial:</t>
    </r>
    <r>
      <rPr>
        <sz val="11"/>
        <color theme="1"/>
        <rFont val="Calibri"/>
        <family val="2"/>
        <scheme val="minor"/>
      </rPr>
      <t xml:space="preserve"> Carreteras (asfalto/concreto), caminos vecinales y sus sistemas de drenaje.</t>
    </r>
  </si>
  <si>
    <t>&gt; Nota Importante: Esta versión NO incluye puentes ni infraestructura de redes de servicios (acueductos, alcantarillado sanitario, tendido eléctrico o telecomunicaciones).</t>
  </si>
  <si>
    <r>
      <t>2. Catálogo de Intervenciones Específicas:</t>
    </r>
    <r>
      <rPr>
        <sz val="11"/>
        <color theme="1"/>
        <rFont val="Calibri"/>
        <family val="2"/>
        <scheme val="minor"/>
      </rPr>
      <t xml:space="preserve"> Esta versión 3.0 integra una base de datos donde cada intervención (Ej: "Mejora de techos" vs "Reforzamiento estructural") posee factores únicos de costo y eficacia derivados de referencias científicas y opinión de expertos, el usuario puede modificar estos factores según su experiencia bajo su responsabilidad.</t>
    </r>
  </si>
  <si>
    <t>Referencias de Costos de Reposición</t>
  </si>
  <si>
    <t>1. Edificaciones (Educación, Salud, Residencial):</t>
  </si>
  <si>
    <r>
      <t>CFIA (Colegio Federado de Ingenieros y de Arquitectos):</t>
    </r>
    <r>
      <rPr>
        <sz val="11"/>
        <color theme="1"/>
        <rFont val="Calibri"/>
        <family val="2"/>
        <scheme val="minor"/>
      </rPr>
      <t xml:space="preserve"> "Tabla de Valores Unitarios por Tipo de Obra" (Promedios 2024-2025).</t>
    </r>
  </si>
  <si>
    <r>
      <t>Ministerio de Hacienda:</t>
    </r>
    <r>
      <rPr>
        <sz val="11"/>
        <color theme="1"/>
        <rFont val="Calibri"/>
        <family val="2"/>
        <scheme val="minor"/>
      </rPr>
      <t xml:space="preserve"> Manual de Valores Base Unitarios por Tipología Constructiva (Órgano de Normalización Técnica - ONT).</t>
    </r>
  </si>
  <si>
    <r>
      <t>SICOP (Sistema Integrado de Compras Públicas):</t>
    </r>
    <r>
      <rPr>
        <sz val="11"/>
        <color theme="1"/>
        <rFont val="Calibri"/>
        <family val="2"/>
        <scheme val="minor"/>
      </rPr>
      <t xml:space="preserve"> Análisis de precios adjudicados recientes para Escuelas Tipo y EBAIS/Clínicas de la CCSS.</t>
    </r>
  </si>
  <si>
    <r>
      <t>MOPT / CONAVI:</t>
    </r>
    <r>
      <rPr>
        <sz val="11"/>
        <color theme="1"/>
        <rFont val="Calibri"/>
        <family val="2"/>
        <scheme val="minor"/>
      </rPr>
      <t xml:space="preserve"> Precios promedio de licitación para obras de rehabilitación y recarpeteo asfáltico.</t>
    </r>
  </si>
  <si>
    <r>
      <t>LanammeUCR:</t>
    </r>
    <r>
      <rPr>
        <sz val="11"/>
        <color theme="1"/>
        <rFont val="Calibri"/>
        <family val="2"/>
        <scheme val="minor"/>
      </rPr>
      <t xml:space="preserve"> Informes de costos de mantenimiento de la Red Vial Nacional.</t>
    </r>
  </si>
  <si>
    <t>&gt; Nota: Estos costos son referenciales, incluyen costos directos e indirectos, pero excluyen el valor del terreno.</t>
  </si>
  <si>
    <t>Los valores unitarios sugeridos han sido estimados triangulando información de las siguientes fuentes oficiales en Costa Rica:</t>
  </si>
  <si>
    <r>
      <t>Ejemplo:</t>
    </r>
    <r>
      <rPr>
        <sz val="11"/>
        <color theme="1"/>
        <rFont val="Calibri"/>
        <family val="2"/>
        <scheme val="minor"/>
      </rPr>
      <t xml:space="preserve"> Si seleccionó "Transporte", el sistema le ofrecerá soluciones viales como "Estabilización de Taludes" o "Rehabilitación Mayor (Recarpeteo)". Si eligió "Educación", verá opciones verticales como "Reforzamiento de Aulas" o "Cambio de Techos".</t>
    </r>
  </si>
  <si>
    <r>
      <t>Tasa de Descuento (Col R):</t>
    </r>
    <r>
      <rPr>
        <sz val="11"/>
        <color theme="1"/>
        <rFont val="Calibri"/>
        <family val="2"/>
        <scheme val="minor"/>
      </rPr>
      <t xml:space="preserve"> Ingrese la tasa financiera para traer los flujos futuros a valor presente (comúnmente entre 4% y 12% para proyectos públicos/privados).</t>
    </r>
  </si>
  <si>
    <r>
      <t>1. Datos Probabilistas (GRAF):</t>
    </r>
    <r>
      <rPr>
        <sz val="11"/>
        <color theme="1"/>
        <rFont val="Calibri"/>
        <family val="2"/>
        <scheme val="minor"/>
      </rPr>
      <t xml:space="preserve"> Los cálculos de riesgo base no son históricos deterministas, sino probabilistas. Utilizan datos agregados del Marco Global de Evaluación de Riesgos (GRAF) para Costa Rica, específicos por Cantón y Sector, capturando la probabilidad de ocurrencia de eventos de diversas magnitudes.</t>
    </r>
    <r>
      <rPr>
        <b/>
        <sz val="11"/>
        <color theme="1"/>
        <rFont val="Calibri"/>
        <family val="2"/>
        <scheme val="minor"/>
      </rPr>
      <t xml:space="preserve"> IMPORTANTE: La base de datos del GRAF únicamente considera efectos directos de daño, por lo que esta herramienta no captura beneficios indirectos como reducción en la interrupción de servicio o el impacto en seguridad de vida.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</si>
</sst>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quot;$&quot;* #,##0.0_);_(&quot;$&quot;* \(#,##0.0\);_(&quot;$&quot;* &quot;-&quot;??_);_(@_)"/>
    <numFmt numFmtId="165" formatCode="0.000%"/>
    <numFmt numFmtId="166" formatCode="&quot;$&quot;#,##0.0_);[Red]\(&quot;$&quot;#,##0.0\)"/>
    <numFmt numFmtId="167" formatCode="0.0"/>
  </numFmts>
  <fonts count="22"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u/>
      <sz val="11"/>
      <color theme="10"/>
      <name val="Calibri"/>
      <family val="2"/>
      <scheme val="minor"/>
    </font>
    <font>
      <b/>
      <sz val="18"/>
      <color theme="1"/>
      <name val="Calibri"/>
      <family val="2"/>
      <scheme val="minor"/>
    </font>
    <font>
      <b/>
      <sz val="13.5"/>
      <color theme="1"/>
      <name val="Calibri"/>
      <family val="2"/>
      <scheme val="minor"/>
    </font>
    <font>
      <b/>
      <sz val="10"/>
      <color theme="1"/>
      <name val="Arial Unicode MS"/>
      <family val="2"/>
    </font>
    <font>
      <i/>
      <sz val="11"/>
      <color theme="1"/>
      <name val="Calibri"/>
      <family val="2"/>
      <scheme val="minor"/>
    </font>
    <font>
      <b/>
      <sz val="24"/>
      <color theme="1"/>
      <name val="Calibri"/>
      <family val="2"/>
      <scheme val="minor"/>
    </font>
    <font>
      <b/>
      <sz val="12"/>
      <color theme="0"/>
      <name val="Calibri"/>
      <family val="2"/>
      <scheme val="minor"/>
    </font>
    <font>
      <sz val="12"/>
      <color theme="1"/>
      <name val="Calibri"/>
      <family val="2"/>
      <scheme val="minor"/>
    </font>
    <font>
      <b/>
      <sz val="20"/>
      <color theme="1"/>
      <name val="Calibri"/>
      <family val="2"/>
      <scheme val="minor"/>
    </font>
    <font>
      <b/>
      <sz val="22"/>
      <color theme="1"/>
      <name val="Calibri"/>
      <family val="2"/>
      <scheme val="minor"/>
    </font>
    <font>
      <sz val="11"/>
      <color theme="0"/>
      <name val="Calibri"/>
      <family val="2"/>
      <scheme val="minor"/>
    </font>
    <font>
      <sz val="10"/>
      <color theme="0"/>
      <name val="Arial Unicode MS"/>
      <family val="2"/>
    </font>
    <font>
      <sz val="9"/>
      <color indexed="81"/>
      <name val="Tahoma"/>
      <family val="2"/>
    </font>
    <font>
      <b/>
      <sz val="9"/>
      <color indexed="81"/>
      <name val="Tahoma"/>
      <family val="2"/>
    </font>
    <font>
      <sz val="11"/>
      <color rgb="FFFF0000"/>
      <name val="Calibri"/>
      <family val="2"/>
      <scheme val="minor"/>
    </font>
    <font>
      <b/>
      <sz val="11"/>
      <color rgb="FFFF0000"/>
      <name val="Calibri"/>
      <family val="2"/>
      <scheme val="minor"/>
    </font>
    <font>
      <b/>
      <sz val="16"/>
      <color theme="1"/>
      <name val="Calibri"/>
      <family val="2"/>
      <scheme val="minor"/>
    </font>
    <font>
      <b/>
      <sz val="24"/>
      <color theme="0"/>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1" tint="0.34998626667073579"/>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4" fillId="0" borderId="0" applyNumberFormat="0" applyFill="0" applyBorder="0" applyAlignment="0" applyProtection="0"/>
  </cellStyleXfs>
  <cellXfs count="83">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1" applyNumberFormat="1" applyFont="1"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167" fontId="0" fillId="0" borderId="0" xfId="0" applyNumberFormat="1" applyAlignment="1">
      <alignment horizontal="center" vertical="center"/>
    </xf>
    <xf numFmtId="0" fontId="4" fillId="0" borderId="0" xfId="3" applyAlignment="1">
      <alignment vertical="center"/>
    </xf>
    <xf numFmtId="0" fontId="0" fillId="2" borderId="0" xfId="0" applyFill="1"/>
    <xf numFmtId="0" fontId="5" fillId="0" borderId="0" xfId="0" applyFont="1" applyAlignment="1">
      <alignment vertical="center"/>
    </xf>
    <xf numFmtId="0" fontId="6" fillId="0" borderId="0" xfId="0" applyFont="1" applyAlignment="1">
      <alignment vertical="center"/>
    </xf>
    <xf numFmtId="0" fontId="0" fillId="0" borderId="0" xfId="0" applyAlignment="1">
      <alignment horizontal="left" vertical="center" indent="1"/>
    </xf>
    <xf numFmtId="0" fontId="7" fillId="0" borderId="0" xfId="0" applyFont="1" applyAlignment="1">
      <alignment horizontal="left" vertical="center" indent="1"/>
    </xf>
    <xf numFmtId="0" fontId="0" fillId="0" borderId="0" xfId="0" applyAlignment="1">
      <alignment horizontal="left" vertical="center" indent="2"/>
    </xf>
    <xf numFmtId="0" fontId="8" fillId="0" borderId="0" xfId="0" applyFont="1" applyAlignment="1">
      <alignment horizontal="left" vertical="center" indent="2"/>
    </xf>
    <xf numFmtId="0" fontId="1" fillId="0" borderId="0" xfId="0" applyFont="1" applyAlignment="1">
      <alignment horizontal="left" vertical="center" indent="2"/>
    </xf>
    <xf numFmtId="0" fontId="1" fillId="0" borderId="0" xfId="0" applyFont="1" applyAlignment="1">
      <alignment horizontal="left" vertical="center" indent="1"/>
    </xf>
    <xf numFmtId="0" fontId="3" fillId="3" borderId="0" xfId="0" applyFont="1" applyFill="1" applyAlignment="1">
      <alignment horizontal="center" vertical="center"/>
    </xf>
    <xf numFmtId="0" fontId="1" fillId="0" borderId="0" xfId="0" applyFont="1" applyAlignment="1">
      <alignment horizontal="center" vertical="center"/>
    </xf>
    <xf numFmtId="165" fontId="0" fillId="0" borderId="0" xfId="2" applyNumberFormat="1" applyFont="1" applyAlignment="1">
      <alignment horizontal="center" vertical="center"/>
    </xf>
    <xf numFmtId="164" fontId="0" fillId="0" borderId="0" xfId="0" applyNumberFormat="1" applyAlignment="1">
      <alignment horizontal="center" vertical="center"/>
    </xf>
    <xf numFmtId="164" fontId="0" fillId="0" borderId="0" xfId="1" applyNumberFormat="1" applyFont="1" applyAlignment="1">
      <alignment horizontal="center" vertical="center"/>
    </xf>
    <xf numFmtId="44" fontId="0" fillId="0" borderId="0" xfId="0" applyNumberFormat="1" applyAlignment="1">
      <alignment horizontal="center" vertical="center"/>
    </xf>
    <xf numFmtId="166"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xf>
    <xf numFmtId="164" fontId="0" fillId="0" borderId="0" xfId="0" applyNumberFormat="1" applyAlignment="1">
      <alignment vertical="center"/>
    </xf>
    <xf numFmtId="0" fontId="7" fillId="0" borderId="0" xfId="0" applyFont="1" applyAlignment="1">
      <alignment horizontal="left" vertical="center"/>
    </xf>
    <xf numFmtId="0" fontId="8"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0" fillId="4" borderId="0" xfId="0" applyFill="1"/>
    <xf numFmtId="0" fontId="12" fillId="0" borderId="0" xfId="0" applyFont="1"/>
    <xf numFmtId="0" fontId="13" fillId="0" borderId="0" xfId="0" applyFont="1"/>
    <xf numFmtId="0" fontId="0" fillId="4" borderId="0" xfId="0" applyFill="1" applyAlignment="1">
      <alignment wrapText="1"/>
    </xf>
    <xf numFmtId="0" fontId="9" fillId="4" borderId="0" xfId="0" applyFont="1" applyFill="1" applyAlignment="1">
      <alignment vertical="center" wrapText="1"/>
    </xf>
    <xf numFmtId="0" fontId="5" fillId="4" borderId="0" xfId="0" applyFont="1" applyFill="1" applyAlignment="1">
      <alignment vertical="center" wrapText="1"/>
    </xf>
    <xf numFmtId="0" fontId="6" fillId="4" borderId="0" xfId="0" applyFont="1" applyFill="1" applyAlignment="1">
      <alignment vertical="center" wrapText="1"/>
    </xf>
    <xf numFmtId="0" fontId="0" fillId="4" borderId="0" xfId="0" applyFill="1" applyAlignment="1">
      <alignment horizontal="left" vertical="center" wrapText="1"/>
    </xf>
    <xf numFmtId="0" fontId="1" fillId="4" borderId="0" xfId="0" applyFont="1" applyFill="1" applyAlignment="1">
      <alignment horizontal="left" vertical="center" wrapText="1"/>
    </xf>
    <xf numFmtId="0" fontId="8" fillId="4" borderId="0" xfId="0" applyFont="1" applyFill="1" applyAlignment="1">
      <alignment horizontal="left" vertical="center" wrapText="1"/>
    </xf>
    <xf numFmtId="0" fontId="1" fillId="4" borderId="0" xfId="0" applyFont="1" applyFill="1" applyAlignment="1">
      <alignment wrapText="1"/>
    </xf>
    <xf numFmtId="0" fontId="1" fillId="4" borderId="0" xfId="0" applyFont="1" applyFill="1" applyAlignment="1">
      <alignment horizontal="left" vertical="center" wrapText="1" indent="2"/>
    </xf>
    <xf numFmtId="0" fontId="0" fillId="4" borderId="0" xfId="0" applyFill="1" applyAlignment="1">
      <alignment horizontal="left" vertical="center" wrapText="1" indent="2"/>
    </xf>
    <xf numFmtId="0" fontId="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8" fillId="0" borderId="0" xfId="0" applyFont="1"/>
    <xf numFmtId="0" fontId="1" fillId="4" borderId="0" xfId="0" applyFont="1" applyFill="1"/>
    <xf numFmtId="0" fontId="0" fillId="4" borderId="0" xfId="0" applyFill="1" applyAlignment="1">
      <alignment horizontal="left" vertical="center" indent="1"/>
    </xf>
    <xf numFmtId="0" fontId="1" fillId="4" borderId="0" xfId="0" applyFont="1" applyFill="1" applyAlignment="1">
      <alignment horizontal="left" vertical="center" indent="1"/>
    </xf>
    <xf numFmtId="0" fontId="1" fillId="4" borderId="0" xfId="0" applyFont="1" applyFill="1" applyAlignment="1">
      <alignment horizontal="left" vertical="center" indent="2"/>
    </xf>
    <xf numFmtId="0" fontId="8" fillId="4" borderId="0" xfId="0" applyFont="1" applyFill="1"/>
    <xf numFmtId="0" fontId="18" fillId="0" borderId="0" xfId="0" applyFont="1" applyAlignment="1">
      <alignment vertical="center"/>
    </xf>
    <xf numFmtId="0" fontId="19" fillId="0" borderId="0" xfId="0" applyFont="1" applyAlignment="1">
      <alignment horizontal="center" vertical="center"/>
    </xf>
    <xf numFmtId="0" fontId="18" fillId="0" borderId="0" xfId="0" applyFont="1" applyAlignment="1">
      <alignment horizontal="center" vertical="center"/>
    </xf>
    <xf numFmtId="0" fontId="14" fillId="0" borderId="0" xfId="0" applyFont="1" applyAlignment="1">
      <alignment vertical="center"/>
    </xf>
    <xf numFmtId="0" fontId="3" fillId="0" borderId="0" xfId="0" applyFont="1" applyAlignment="1">
      <alignment horizontal="center" vertical="center"/>
    </xf>
    <xf numFmtId="0" fontId="14" fillId="0" borderId="0" xfId="0" applyFont="1" applyAlignment="1">
      <alignment horizontal="center" vertical="center"/>
    </xf>
    <xf numFmtId="0" fontId="20" fillId="0" borderId="0" xfId="0" applyFont="1" applyAlignment="1">
      <alignment vertical="center"/>
    </xf>
    <xf numFmtId="0" fontId="1" fillId="0" borderId="0" xfId="0" applyFont="1" applyAlignment="1">
      <alignment horizontal="left" vertical="center" indent="3"/>
    </xf>
    <xf numFmtId="0" fontId="0" fillId="2" borderId="0" xfId="0" applyFill="1" applyAlignment="1" applyProtection="1">
      <alignment horizontal="center" vertical="center"/>
      <protection locked="0"/>
    </xf>
    <xf numFmtId="164" fontId="0" fillId="2" borderId="0" xfId="1" applyNumberFormat="1" applyFont="1" applyFill="1" applyAlignment="1" applyProtection="1">
      <alignment horizontal="center" vertical="center"/>
      <protection locked="0"/>
    </xf>
    <xf numFmtId="0" fontId="0" fillId="0" borderId="0" xfId="0" applyAlignment="1" applyProtection="1">
      <alignment horizontal="center" vertical="center"/>
      <protection locked="0"/>
    </xf>
    <xf numFmtId="165" fontId="0" fillId="0" borderId="0" xfId="2" applyNumberFormat="1" applyFont="1" applyAlignment="1" applyProtection="1">
      <alignment horizontal="center" vertical="center"/>
      <protection locked="0"/>
    </xf>
    <xf numFmtId="165" fontId="0" fillId="2" borderId="0" xfId="2" applyNumberFormat="1" applyFont="1" applyFill="1" applyAlignment="1" applyProtection="1">
      <alignment horizontal="center" vertical="center"/>
      <protection locked="0"/>
    </xf>
    <xf numFmtId="9" fontId="0" fillId="2" borderId="0" xfId="2" applyFont="1" applyFill="1" applyAlignment="1" applyProtection="1">
      <alignment horizontal="center" vertical="center"/>
      <protection locked="0"/>
    </xf>
    <xf numFmtId="0" fontId="0" fillId="2" borderId="0" xfId="0" applyFill="1" applyAlignment="1" applyProtection="1">
      <alignment horizontal="center"/>
      <protection locked="0"/>
    </xf>
    <xf numFmtId="0" fontId="0" fillId="2" borderId="0" xfId="0" applyFill="1" applyProtection="1">
      <protection locked="0"/>
    </xf>
    <xf numFmtId="0" fontId="21" fillId="4" borderId="0" xfId="0" applyFont="1" applyFill="1" applyAlignment="1">
      <alignment vertical="center" wrapText="1"/>
    </xf>
    <xf numFmtId="0" fontId="14" fillId="0" borderId="0" xfId="0" applyFont="1"/>
    <xf numFmtId="164" fontId="14" fillId="0" borderId="0" xfId="1" applyNumberFormat="1" applyFont="1"/>
    <xf numFmtId="10" fontId="0" fillId="2" borderId="0" xfId="2" applyNumberFormat="1" applyFont="1" applyFill="1" applyAlignment="1" applyProtection="1">
      <alignment horizontal="center" vertical="center"/>
      <protection locked="0"/>
    </xf>
    <xf numFmtId="167" fontId="0" fillId="2" borderId="0" xfId="0" applyNumberFormat="1" applyFill="1" applyAlignment="1" applyProtection="1">
      <alignment horizontal="center" vertical="center"/>
      <protection locked="0"/>
    </xf>
    <xf numFmtId="164" fontId="0" fillId="2" borderId="0" xfId="1" applyNumberFormat="1" applyFont="1" applyFill="1" applyAlignment="1" applyProtection="1">
      <alignment vertical="center"/>
      <protection locked="0"/>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0" fontId="9" fillId="4" borderId="0" xfId="0" applyFont="1" applyFill="1" applyAlignment="1">
      <alignment horizontal="left" vertical="center" wrapText="1"/>
    </xf>
    <xf numFmtId="0" fontId="10" fillId="3" borderId="0" xfId="0" applyFont="1" applyFill="1" applyAlignment="1">
      <alignment horizontal="center" vertical="center"/>
    </xf>
    <xf numFmtId="0" fontId="1" fillId="0" borderId="0" xfId="0" applyFont="1" applyAlignment="1">
      <alignment horizontal="center" vertical="center" wrapText="1"/>
    </xf>
  </cellXfs>
  <cellStyles count="4">
    <cellStyle name="Currency" xfId="1" builtinId="4"/>
    <cellStyle name="Hyperlink" xfId="3" builtinId="8"/>
    <cellStyle name="Normal" xfId="0" builtinId="0"/>
    <cellStyle name="Percent" xfId="2" builtinId="5"/>
  </cellStyles>
  <dxfs count="0"/>
  <tableStyles count="0" defaultTableStyle="TableStyleMedium9" defaultPivotStyle="PivotStyleLight16"/>
  <colors>
    <mruColors>
      <color rgb="FFAAE3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Costo Reposición por Provincia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Principal!$AJ$9</c:f>
              <c:strCache>
                <c:ptCount val="1"/>
                <c:pt idx="0">
                  <c:v>Costo Reposición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16-4BC7-AE93-99340F17DB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16-4BC7-AE93-99340F17DB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16-4BC7-AE93-99340F17DB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16-4BC7-AE93-99340F17DB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16-4BC7-AE93-99340F17DBC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016-4BC7-AE93-99340F17DBC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016-4BC7-AE93-99340F17DB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Principal!$AI$10:$AI$16</c:f>
              <c:strCache>
                <c:ptCount val="7"/>
                <c:pt idx="0">
                  <c:v>Alajuela</c:v>
                </c:pt>
                <c:pt idx="1">
                  <c:v>Cartago</c:v>
                </c:pt>
                <c:pt idx="2">
                  <c:v>Guanacaste</c:v>
                </c:pt>
                <c:pt idx="3">
                  <c:v>Heredia</c:v>
                </c:pt>
                <c:pt idx="4">
                  <c:v>Limón</c:v>
                </c:pt>
                <c:pt idx="5">
                  <c:v>Puntarenas</c:v>
                </c:pt>
                <c:pt idx="6">
                  <c:v>San_Jose</c:v>
                </c:pt>
              </c:strCache>
            </c:strRef>
          </c:cat>
          <c:val>
            <c:numRef>
              <c:f>Principal!$AJ$10:$AJ$16</c:f>
              <c:numCache>
                <c:formatCode>General</c:formatCode>
                <c:ptCount val="7"/>
                <c:pt idx="0">
                  <c:v>60000000</c:v>
                </c:pt>
                <c:pt idx="1">
                  <c:v>0</c:v>
                </c:pt>
                <c:pt idx="2">
                  <c:v>3100000</c:v>
                </c:pt>
                <c:pt idx="3">
                  <c:v>4000000</c:v>
                </c:pt>
                <c:pt idx="4">
                  <c:v>0</c:v>
                </c:pt>
                <c:pt idx="5">
                  <c:v>3940000</c:v>
                </c:pt>
                <c:pt idx="6">
                  <c:v>3000000</c:v>
                </c:pt>
              </c:numCache>
            </c:numRef>
          </c:val>
          <c:extLst>
            <c:ext xmlns:c16="http://schemas.microsoft.com/office/drawing/2014/chart" uri="{C3380CC4-5D6E-409C-BE32-E72D297353CC}">
              <c16:uniqueId val="{00000000-746F-404D-ACF6-63C5A6E4A203}"/>
            </c:ext>
          </c:extLst>
        </c:ser>
        <c:ser>
          <c:idx val="1"/>
          <c:order val="1"/>
          <c:tx>
            <c:strRef>
              <c:f>Principal!$AK$9</c:f>
              <c:strCache>
                <c:ptCount val="1"/>
                <c:pt idx="0">
                  <c:v>Inversión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5016-4BC7-AE93-99340F17DB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5016-4BC7-AE93-99340F17DB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5016-4BC7-AE93-99340F17DB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5016-4BC7-AE93-99340F17DB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5016-4BC7-AE93-99340F17DBC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5016-4BC7-AE93-99340F17DBC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5016-4BC7-AE93-99340F17DB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Principal!$AI$10:$AI$16</c:f>
              <c:strCache>
                <c:ptCount val="7"/>
                <c:pt idx="0">
                  <c:v>Alajuela</c:v>
                </c:pt>
                <c:pt idx="1">
                  <c:v>Cartago</c:v>
                </c:pt>
                <c:pt idx="2">
                  <c:v>Guanacaste</c:v>
                </c:pt>
                <c:pt idx="3">
                  <c:v>Heredia</c:v>
                </c:pt>
                <c:pt idx="4">
                  <c:v>Limón</c:v>
                </c:pt>
                <c:pt idx="5">
                  <c:v>Puntarenas</c:v>
                </c:pt>
                <c:pt idx="6">
                  <c:v>San_Jose</c:v>
                </c:pt>
              </c:strCache>
            </c:strRef>
          </c:cat>
          <c:val>
            <c:numRef>
              <c:f>Principal!$AK$10:$AK$16</c:f>
              <c:numCache>
                <c:formatCode>General</c:formatCode>
                <c:ptCount val="7"/>
                <c:pt idx="0">
                  <c:v>7500000</c:v>
                </c:pt>
                <c:pt idx="1">
                  <c:v>0</c:v>
                </c:pt>
                <c:pt idx="2">
                  <c:v>3410000.0000000005</c:v>
                </c:pt>
                <c:pt idx="3">
                  <c:v>1600000</c:v>
                </c:pt>
                <c:pt idx="4">
                  <c:v>0</c:v>
                </c:pt>
                <c:pt idx="5">
                  <c:v>947000</c:v>
                </c:pt>
                <c:pt idx="6">
                  <c:v>1050000</c:v>
                </c:pt>
              </c:numCache>
            </c:numRef>
          </c:val>
          <c:extLst>
            <c:ext xmlns:c16="http://schemas.microsoft.com/office/drawing/2014/chart" uri="{C3380CC4-5D6E-409C-BE32-E72D297353CC}">
              <c16:uniqueId val="{00000001-746F-404D-ACF6-63C5A6E4A203}"/>
            </c:ext>
          </c:extLst>
        </c:ser>
        <c:ser>
          <c:idx val="2"/>
          <c:order val="2"/>
          <c:tx>
            <c:strRef>
              <c:f>Principal!$AL$9</c:f>
              <c:strCache>
                <c:ptCount val="1"/>
                <c:pt idx="0">
                  <c:v>Ahorro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5016-4BC7-AE93-99340F17DB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5016-4BC7-AE93-99340F17DB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5016-4BC7-AE93-99340F17DB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3-5016-4BC7-AE93-99340F17DB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5-5016-4BC7-AE93-99340F17DBC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7-5016-4BC7-AE93-99340F17DBC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9-5016-4BC7-AE93-99340F17DB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Principal!$AI$10:$AI$16</c:f>
              <c:strCache>
                <c:ptCount val="7"/>
                <c:pt idx="0">
                  <c:v>Alajuela</c:v>
                </c:pt>
                <c:pt idx="1">
                  <c:v>Cartago</c:v>
                </c:pt>
                <c:pt idx="2">
                  <c:v>Guanacaste</c:v>
                </c:pt>
                <c:pt idx="3">
                  <c:v>Heredia</c:v>
                </c:pt>
                <c:pt idx="4">
                  <c:v>Limón</c:v>
                </c:pt>
                <c:pt idx="5">
                  <c:v>Puntarenas</c:v>
                </c:pt>
                <c:pt idx="6">
                  <c:v>San_Jose</c:v>
                </c:pt>
              </c:strCache>
            </c:strRef>
          </c:cat>
          <c:val>
            <c:numRef>
              <c:f>Principal!$AL$10:$AL$16</c:f>
              <c:numCache>
                <c:formatCode>General</c:formatCode>
                <c:ptCount val="7"/>
                <c:pt idx="0">
                  <c:v>1388084.3496546405</c:v>
                </c:pt>
                <c:pt idx="1">
                  <c:v>0</c:v>
                </c:pt>
                <c:pt idx="2">
                  <c:v>685234.15786567202</c:v>
                </c:pt>
                <c:pt idx="3">
                  <c:v>5829642.2488476411</c:v>
                </c:pt>
                <c:pt idx="4">
                  <c:v>0</c:v>
                </c:pt>
                <c:pt idx="5">
                  <c:v>953676.87158802047</c:v>
                </c:pt>
                <c:pt idx="6">
                  <c:v>1153268.7354294951</c:v>
                </c:pt>
              </c:numCache>
            </c:numRef>
          </c:val>
          <c:extLst>
            <c:ext xmlns:c16="http://schemas.microsoft.com/office/drawing/2014/chart" uri="{C3380CC4-5D6E-409C-BE32-E72D297353CC}">
              <c16:uniqueId val="{00000002-746F-404D-ACF6-63C5A6E4A203}"/>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938208705843129"/>
          <c:y val="0.35523295063453814"/>
          <c:w val="0.19676737227016222"/>
          <c:h val="0.546878827646544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Inversión por Provincia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1"/>
          <c:tx>
            <c:strRef>
              <c:f>Principal!$AK$9</c:f>
              <c:strCache>
                <c:ptCount val="1"/>
                <c:pt idx="0">
                  <c:v>Inversión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33C1-4F39-B3D3-F972857B37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33C1-4F39-B3D3-F972857B37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33C1-4F39-B3D3-F972857B37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33C1-4F39-B3D3-F972857B37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33C1-4F39-B3D3-F972857B37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33C1-4F39-B3D3-F972857B374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33C1-4F39-B3D3-F972857B37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Principal!$AI$10:$AI$16</c:f>
              <c:strCache>
                <c:ptCount val="7"/>
                <c:pt idx="0">
                  <c:v>Alajuela</c:v>
                </c:pt>
                <c:pt idx="1">
                  <c:v>Cartago</c:v>
                </c:pt>
                <c:pt idx="2">
                  <c:v>Guanacaste</c:v>
                </c:pt>
                <c:pt idx="3">
                  <c:v>Heredia</c:v>
                </c:pt>
                <c:pt idx="4">
                  <c:v>Limón</c:v>
                </c:pt>
                <c:pt idx="5">
                  <c:v>Puntarenas</c:v>
                </c:pt>
                <c:pt idx="6">
                  <c:v>San_Jose</c:v>
                </c:pt>
              </c:strCache>
            </c:strRef>
          </c:cat>
          <c:val>
            <c:numRef>
              <c:f>Principal!$AK$10:$AK$16</c:f>
              <c:numCache>
                <c:formatCode>General</c:formatCode>
                <c:ptCount val="7"/>
                <c:pt idx="0">
                  <c:v>7500000</c:v>
                </c:pt>
                <c:pt idx="1">
                  <c:v>0</c:v>
                </c:pt>
                <c:pt idx="2">
                  <c:v>3410000.0000000005</c:v>
                </c:pt>
                <c:pt idx="3">
                  <c:v>1600000</c:v>
                </c:pt>
                <c:pt idx="4">
                  <c:v>0</c:v>
                </c:pt>
                <c:pt idx="5">
                  <c:v>947000</c:v>
                </c:pt>
                <c:pt idx="6">
                  <c:v>1050000</c:v>
                </c:pt>
              </c:numCache>
            </c:numRef>
          </c:val>
          <c:extLst>
            <c:ext xmlns:c16="http://schemas.microsoft.com/office/drawing/2014/chart" uri="{C3380CC4-5D6E-409C-BE32-E72D297353CC}">
              <c16:uniqueId val="{00000001-746F-404D-ACF6-63C5A6E4A203}"/>
            </c:ext>
          </c:extLst>
        </c:ser>
        <c:dLbls>
          <c:dLblPos val="outEnd"/>
          <c:showLegendKey val="0"/>
          <c:showVal val="0"/>
          <c:showCatName val="0"/>
          <c:showSerName val="0"/>
          <c:showPercent val="1"/>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Principal!$AJ$9</c15:sqref>
                        </c15:formulaRef>
                      </c:ext>
                    </c:extLst>
                    <c:strCache>
                      <c:ptCount val="1"/>
                      <c:pt idx="0">
                        <c:v>Costo Reposición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C1-4F39-B3D3-F972857B37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C1-4F39-B3D3-F972857B37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C1-4F39-B3D3-F972857B37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C1-4F39-B3D3-F972857B37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C1-4F39-B3D3-F972857B37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3C1-4F39-B3D3-F972857B374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3C1-4F39-B3D3-F972857B37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Principal!$AI$10:$AI$16</c15:sqref>
                        </c15:formulaRef>
                      </c:ext>
                    </c:extLst>
                    <c:strCache>
                      <c:ptCount val="7"/>
                      <c:pt idx="0">
                        <c:v>Alajuela</c:v>
                      </c:pt>
                      <c:pt idx="1">
                        <c:v>Cartago</c:v>
                      </c:pt>
                      <c:pt idx="2">
                        <c:v>Guanacaste</c:v>
                      </c:pt>
                      <c:pt idx="3">
                        <c:v>Heredia</c:v>
                      </c:pt>
                      <c:pt idx="4">
                        <c:v>Limón</c:v>
                      </c:pt>
                      <c:pt idx="5">
                        <c:v>Puntarenas</c:v>
                      </c:pt>
                      <c:pt idx="6">
                        <c:v>San_Jose</c:v>
                      </c:pt>
                    </c:strCache>
                  </c:strRef>
                </c:cat>
                <c:val>
                  <c:numRef>
                    <c:extLst>
                      <c:ext uri="{02D57815-91ED-43cb-92C2-25804820EDAC}">
                        <c15:formulaRef>
                          <c15:sqref>Principal!$AJ$10:$AJ$16</c15:sqref>
                        </c15:formulaRef>
                      </c:ext>
                    </c:extLst>
                    <c:numCache>
                      <c:formatCode>General</c:formatCode>
                      <c:ptCount val="7"/>
                      <c:pt idx="0">
                        <c:v>60000000</c:v>
                      </c:pt>
                      <c:pt idx="1">
                        <c:v>0</c:v>
                      </c:pt>
                      <c:pt idx="2">
                        <c:v>3100000</c:v>
                      </c:pt>
                      <c:pt idx="3">
                        <c:v>4000000</c:v>
                      </c:pt>
                      <c:pt idx="4">
                        <c:v>0</c:v>
                      </c:pt>
                      <c:pt idx="5">
                        <c:v>3940000</c:v>
                      </c:pt>
                      <c:pt idx="6">
                        <c:v>3000000</c:v>
                      </c:pt>
                    </c:numCache>
                  </c:numRef>
                </c:val>
                <c:extLst>
                  <c:ext xmlns:c16="http://schemas.microsoft.com/office/drawing/2014/chart" uri="{C3380CC4-5D6E-409C-BE32-E72D297353CC}">
                    <c16:uniqueId val="{00000000-746F-404D-ACF6-63C5A6E4A203}"/>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Principal!$AL$9</c15:sqref>
                        </c15:formulaRef>
                      </c:ext>
                    </c:extLst>
                    <c:strCache>
                      <c:ptCount val="1"/>
                      <c:pt idx="0">
                        <c:v>Ahorro ($)</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D-33C1-4F39-B3D3-F972857B3746}"/>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F-33C1-4F39-B3D3-F972857B3746}"/>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21-33C1-4F39-B3D3-F972857B3746}"/>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23-33C1-4F39-B3D3-F972857B3746}"/>
                    </c:ext>
                  </c:extLst>
                </c:dPt>
                <c:dPt>
                  <c:idx val="4"/>
                  <c:bubble3D val="0"/>
                  <c:spPr>
                    <a:solidFill>
                      <a:schemeClr val="accent5"/>
                    </a:solidFill>
                    <a:ln w="19050">
                      <a:solidFill>
                        <a:schemeClr val="lt1"/>
                      </a:solidFill>
                    </a:ln>
                    <a:effectLst/>
                  </c:spPr>
                  <c:extLst xmlns:c15="http://schemas.microsoft.com/office/drawing/2012/chart">
                    <c:ext xmlns:c16="http://schemas.microsoft.com/office/drawing/2014/chart" uri="{C3380CC4-5D6E-409C-BE32-E72D297353CC}">
                      <c16:uniqueId val="{00000025-33C1-4F39-B3D3-F972857B3746}"/>
                    </c:ext>
                  </c:extLst>
                </c:dPt>
                <c:dPt>
                  <c:idx val="5"/>
                  <c:bubble3D val="0"/>
                  <c:spPr>
                    <a:solidFill>
                      <a:schemeClr val="accent6"/>
                    </a:solidFill>
                    <a:ln w="19050">
                      <a:solidFill>
                        <a:schemeClr val="lt1"/>
                      </a:solidFill>
                    </a:ln>
                    <a:effectLst/>
                  </c:spPr>
                  <c:extLst xmlns:c15="http://schemas.microsoft.com/office/drawing/2012/chart">
                    <c:ext xmlns:c16="http://schemas.microsoft.com/office/drawing/2014/chart" uri="{C3380CC4-5D6E-409C-BE32-E72D297353CC}">
                      <c16:uniqueId val="{00000027-33C1-4F39-B3D3-F972857B3746}"/>
                    </c:ext>
                  </c:extLst>
                </c:dPt>
                <c:dPt>
                  <c:idx val="6"/>
                  <c:bubble3D val="0"/>
                  <c:spPr>
                    <a:solidFill>
                      <a:schemeClr val="accent1">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29-33C1-4F39-B3D3-F972857B37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Principal!$AI$10:$AI$16</c15:sqref>
                        </c15:formulaRef>
                      </c:ext>
                    </c:extLst>
                    <c:strCache>
                      <c:ptCount val="7"/>
                      <c:pt idx="0">
                        <c:v>Alajuela</c:v>
                      </c:pt>
                      <c:pt idx="1">
                        <c:v>Cartago</c:v>
                      </c:pt>
                      <c:pt idx="2">
                        <c:v>Guanacaste</c:v>
                      </c:pt>
                      <c:pt idx="3">
                        <c:v>Heredia</c:v>
                      </c:pt>
                      <c:pt idx="4">
                        <c:v>Limón</c:v>
                      </c:pt>
                      <c:pt idx="5">
                        <c:v>Puntarenas</c:v>
                      </c:pt>
                      <c:pt idx="6">
                        <c:v>San_Jose</c:v>
                      </c:pt>
                    </c:strCache>
                  </c:strRef>
                </c:cat>
                <c:val>
                  <c:numRef>
                    <c:extLst xmlns:c15="http://schemas.microsoft.com/office/drawing/2012/chart">
                      <c:ext xmlns:c15="http://schemas.microsoft.com/office/drawing/2012/chart" uri="{02D57815-91ED-43cb-92C2-25804820EDAC}">
                        <c15:formulaRef>
                          <c15:sqref>Principal!$AL$10:$AL$16</c15:sqref>
                        </c15:formulaRef>
                      </c:ext>
                    </c:extLst>
                    <c:numCache>
                      <c:formatCode>General</c:formatCode>
                      <c:ptCount val="7"/>
                      <c:pt idx="0">
                        <c:v>1388084.3496546405</c:v>
                      </c:pt>
                      <c:pt idx="1">
                        <c:v>0</c:v>
                      </c:pt>
                      <c:pt idx="2">
                        <c:v>685234.15786567202</c:v>
                      </c:pt>
                      <c:pt idx="3">
                        <c:v>5829642.2488476411</c:v>
                      </c:pt>
                      <c:pt idx="4">
                        <c:v>0</c:v>
                      </c:pt>
                      <c:pt idx="5">
                        <c:v>953676.87158802047</c:v>
                      </c:pt>
                      <c:pt idx="6">
                        <c:v>1153268.7354294951</c:v>
                      </c:pt>
                    </c:numCache>
                  </c:numRef>
                </c:val>
                <c:extLst xmlns:c15="http://schemas.microsoft.com/office/drawing/2012/chart">
                  <c:ext xmlns:c16="http://schemas.microsoft.com/office/drawing/2014/chart" uri="{C3380CC4-5D6E-409C-BE32-E72D297353CC}">
                    <c16:uniqueId val="{00000002-746F-404D-ACF6-63C5A6E4A203}"/>
                  </c:ext>
                </c:extLst>
              </c15:ser>
            </c15:filteredPieSeries>
          </c:ext>
        </c:extLst>
      </c:pieChart>
      <c:spPr>
        <a:noFill/>
        <a:ln>
          <a:noFill/>
        </a:ln>
        <a:effectLst/>
      </c:spPr>
    </c:plotArea>
    <c:legend>
      <c:legendPos val="r"/>
      <c:layout>
        <c:manualLayout>
          <c:xMode val="edge"/>
          <c:yMode val="edge"/>
          <c:x val="0.68938208705843129"/>
          <c:y val="0.35523295063453814"/>
          <c:w val="0.20216923581928506"/>
          <c:h val="0.551317787978669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Costo Reposición por Sector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Principal!$AO$9</c:f>
              <c:strCache>
                <c:ptCount val="1"/>
                <c:pt idx="0">
                  <c:v>Costo Reposición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D0-427F-9CA1-5478E022A1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D0-427F-9CA1-5478E022A1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D0-427F-9CA1-5478E022A1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D0-427F-9CA1-5478E022A1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D0-427F-9CA1-5478E022A1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3D0-427F-9CA1-5478E022A1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Principal!$AN$10:$AN$13</c:f>
              <c:strCache>
                <c:ptCount val="4"/>
                <c:pt idx="0">
                  <c:v>Educación</c:v>
                </c:pt>
                <c:pt idx="1">
                  <c:v>Residencial</c:v>
                </c:pt>
                <c:pt idx="2">
                  <c:v>Salud</c:v>
                </c:pt>
                <c:pt idx="3">
                  <c:v>Transporte</c:v>
                </c:pt>
              </c:strCache>
            </c:strRef>
          </c:cat>
          <c:val>
            <c:numRef>
              <c:f>Principal!$AO$10:$AO$13</c:f>
              <c:numCache>
                <c:formatCode>General</c:formatCode>
                <c:ptCount val="4"/>
                <c:pt idx="0">
                  <c:v>10040000</c:v>
                </c:pt>
                <c:pt idx="1">
                  <c:v>0</c:v>
                </c:pt>
                <c:pt idx="2">
                  <c:v>4000000</c:v>
                </c:pt>
                <c:pt idx="3">
                  <c:v>60000000</c:v>
                </c:pt>
              </c:numCache>
            </c:numRef>
          </c:val>
          <c:extLst>
            <c:ext xmlns:c16="http://schemas.microsoft.com/office/drawing/2014/chart" uri="{C3380CC4-5D6E-409C-BE32-E72D297353CC}">
              <c16:uniqueId val="{00000000-7FF8-4523-98B6-080F2870509A}"/>
            </c:ext>
          </c:extLst>
        </c:ser>
        <c:ser>
          <c:idx val="1"/>
          <c:order val="1"/>
          <c:tx>
            <c:strRef>
              <c:f>Principal!$AP$9</c:f>
              <c:strCache>
                <c:ptCount val="1"/>
                <c:pt idx="0">
                  <c:v>Inversión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03D0-427F-9CA1-5478E022A1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03D0-427F-9CA1-5478E022A1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03D0-427F-9CA1-5478E022A1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03D0-427F-9CA1-5478E022A1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03D0-427F-9CA1-5478E022A1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03D0-427F-9CA1-5478E022A1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Principal!$AN$10:$AN$13</c:f>
              <c:strCache>
                <c:ptCount val="4"/>
                <c:pt idx="0">
                  <c:v>Educación</c:v>
                </c:pt>
                <c:pt idx="1">
                  <c:v>Residencial</c:v>
                </c:pt>
                <c:pt idx="2">
                  <c:v>Salud</c:v>
                </c:pt>
                <c:pt idx="3">
                  <c:v>Transporte</c:v>
                </c:pt>
              </c:strCache>
            </c:strRef>
          </c:cat>
          <c:val>
            <c:numRef>
              <c:f>Principal!$AP$10:$AP$13</c:f>
              <c:numCache>
                <c:formatCode>General</c:formatCode>
                <c:ptCount val="4"/>
                <c:pt idx="0">
                  <c:v>5407000</c:v>
                </c:pt>
                <c:pt idx="1">
                  <c:v>0</c:v>
                </c:pt>
                <c:pt idx="2">
                  <c:v>1600000</c:v>
                </c:pt>
                <c:pt idx="3">
                  <c:v>7500000</c:v>
                </c:pt>
              </c:numCache>
            </c:numRef>
          </c:val>
          <c:extLst>
            <c:ext xmlns:c16="http://schemas.microsoft.com/office/drawing/2014/chart" uri="{C3380CC4-5D6E-409C-BE32-E72D297353CC}">
              <c16:uniqueId val="{00000001-7FF8-4523-98B6-080F2870509A}"/>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Inversión por Sector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1"/>
          <c:tx>
            <c:strRef>
              <c:f>Principal!$AP$9</c:f>
              <c:strCache>
                <c:ptCount val="1"/>
                <c:pt idx="0">
                  <c:v>Inversión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A0AC-44D8-8760-5FC330D338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A0AC-44D8-8760-5FC330D338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A0AC-44D8-8760-5FC330D338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A0AC-44D8-8760-5FC330D338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A0AC-44D8-8760-5FC330D338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A0AC-44D8-8760-5FC330D338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Principal!$AN$10:$AN$13</c:f>
              <c:strCache>
                <c:ptCount val="4"/>
                <c:pt idx="0">
                  <c:v>Educación</c:v>
                </c:pt>
                <c:pt idx="1">
                  <c:v>Residencial</c:v>
                </c:pt>
                <c:pt idx="2">
                  <c:v>Salud</c:v>
                </c:pt>
                <c:pt idx="3">
                  <c:v>Transporte</c:v>
                </c:pt>
              </c:strCache>
            </c:strRef>
          </c:cat>
          <c:val>
            <c:numRef>
              <c:f>Principal!$AP$10:$AP$13</c:f>
              <c:numCache>
                <c:formatCode>General</c:formatCode>
                <c:ptCount val="4"/>
                <c:pt idx="0">
                  <c:v>5407000</c:v>
                </c:pt>
                <c:pt idx="1">
                  <c:v>0</c:v>
                </c:pt>
                <c:pt idx="2">
                  <c:v>1600000</c:v>
                </c:pt>
                <c:pt idx="3">
                  <c:v>7500000</c:v>
                </c:pt>
              </c:numCache>
            </c:numRef>
          </c:val>
          <c:extLst>
            <c:ext xmlns:c16="http://schemas.microsoft.com/office/drawing/2014/chart" uri="{C3380CC4-5D6E-409C-BE32-E72D297353CC}">
              <c16:uniqueId val="{00000001-7FF8-4523-98B6-080F2870509A}"/>
            </c:ext>
          </c:extLst>
        </c:ser>
        <c:dLbls>
          <c:showLegendKey val="0"/>
          <c:showVal val="0"/>
          <c:showCatName val="0"/>
          <c:showSerName val="0"/>
          <c:showPercent val="1"/>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Principal!$AO$9</c15:sqref>
                        </c15:formulaRef>
                      </c:ext>
                    </c:extLst>
                    <c:strCache>
                      <c:ptCount val="1"/>
                      <c:pt idx="0">
                        <c:v>Costo Reposición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AC-44D8-8760-5FC330D338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AC-44D8-8760-5FC330D338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AC-44D8-8760-5FC330D338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AC-44D8-8760-5FC330D338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0AC-44D8-8760-5FC330D338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0AC-44D8-8760-5FC330D338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Principal!$AN$10:$AN$13</c15:sqref>
                        </c15:formulaRef>
                      </c:ext>
                    </c:extLst>
                    <c:strCache>
                      <c:ptCount val="4"/>
                      <c:pt idx="0">
                        <c:v>Educación</c:v>
                      </c:pt>
                      <c:pt idx="1">
                        <c:v>Residencial</c:v>
                      </c:pt>
                      <c:pt idx="2">
                        <c:v>Salud</c:v>
                      </c:pt>
                      <c:pt idx="3">
                        <c:v>Transporte</c:v>
                      </c:pt>
                    </c:strCache>
                  </c:strRef>
                </c:cat>
                <c:val>
                  <c:numRef>
                    <c:extLst>
                      <c:ext uri="{02D57815-91ED-43cb-92C2-25804820EDAC}">
                        <c15:formulaRef>
                          <c15:sqref>Principal!$AO$10:$AO$13</c15:sqref>
                        </c15:formulaRef>
                      </c:ext>
                    </c:extLst>
                    <c:numCache>
                      <c:formatCode>General</c:formatCode>
                      <c:ptCount val="4"/>
                      <c:pt idx="0">
                        <c:v>10040000</c:v>
                      </c:pt>
                      <c:pt idx="1">
                        <c:v>0</c:v>
                      </c:pt>
                      <c:pt idx="2">
                        <c:v>4000000</c:v>
                      </c:pt>
                      <c:pt idx="3">
                        <c:v>60000000</c:v>
                      </c:pt>
                    </c:numCache>
                  </c:numRef>
                </c:val>
                <c:extLst>
                  <c:ext xmlns:c16="http://schemas.microsoft.com/office/drawing/2014/chart" uri="{C3380CC4-5D6E-409C-BE32-E72D297353CC}">
                    <c16:uniqueId val="{00000000-7FF8-4523-98B6-080F2870509A}"/>
                  </c:ext>
                </c:extLst>
              </c15:ser>
            </c15:filteredPieSeries>
          </c:ext>
        </c:extLst>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16565</xdr:colOff>
      <xdr:row>0</xdr:row>
      <xdr:rowOff>1</xdr:rowOff>
    </xdr:from>
    <xdr:to>
      <xdr:col>0</xdr:col>
      <xdr:colOff>1778000</xdr:colOff>
      <xdr:row>5</xdr:row>
      <xdr:rowOff>15846</xdr:rowOff>
    </xdr:to>
    <xdr:pic>
      <xdr:nvPicPr>
        <xdr:cNvPr id="2" name="Picture 1" descr="UNDRR - Oficina Regional de Las Américas y El Caribe">
          <a:extLst>
            <a:ext uri="{FF2B5EF4-FFF2-40B4-BE49-F238E27FC236}">
              <a16:creationId xmlns:a16="http://schemas.microsoft.com/office/drawing/2014/main" id="{9085F439-19F2-45CB-3A98-CF84324E60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565" y="1"/>
          <a:ext cx="1761435" cy="926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474720</xdr:colOff>
      <xdr:row>21</xdr:row>
      <xdr:rowOff>26925</xdr:rowOff>
    </xdr:from>
    <xdr:to>
      <xdr:col>14</xdr:col>
      <xdr:colOff>468514</xdr:colOff>
      <xdr:row>32</xdr:row>
      <xdr:rowOff>120525</xdr:rowOff>
    </xdr:to>
    <xdr:graphicFrame macro="">
      <xdr:nvGraphicFramePr>
        <xdr:cNvPr id="3" name="Chart 2">
          <a:extLst>
            <a:ext uri="{FF2B5EF4-FFF2-40B4-BE49-F238E27FC236}">
              <a16:creationId xmlns:a16="http://schemas.microsoft.com/office/drawing/2014/main" id="{8CF49D50-1478-6804-9CE2-1CC907E7F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295961</xdr:colOff>
      <xdr:row>21</xdr:row>
      <xdr:rowOff>26924</xdr:rowOff>
    </xdr:from>
    <xdr:to>
      <xdr:col>17</xdr:col>
      <xdr:colOff>328270</xdr:colOff>
      <xdr:row>32</xdr:row>
      <xdr:rowOff>120524</xdr:rowOff>
    </xdr:to>
    <xdr:graphicFrame macro="">
      <xdr:nvGraphicFramePr>
        <xdr:cNvPr id="4" name="Chart 3">
          <a:extLst>
            <a:ext uri="{FF2B5EF4-FFF2-40B4-BE49-F238E27FC236}">
              <a16:creationId xmlns:a16="http://schemas.microsoft.com/office/drawing/2014/main" id="{F2626038-2795-6250-9719-671872F54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483345</xdr:colOff>
      <xdr:row>32</xdr:row>
      <xdr:rowOff>112005</xdr:rowOff>
    </xdr:from>
    <xdr:to>
      <xdr:col>14</xdr:col>
      <xdr:colOff>292485</xdr:colOff>
      <xdr:row>48</xdr:row>
      <xdr:rowOff>123959</xdr:rowOff>
    </xdr:to>
    <xdr:graphicFrame macro="">
      <xdr:nvGraphicFramePr>
        <xdr:cNvPr id="7" name="Chart 6">
          <a:extLst>
            <a:ext uri="{FF2B5EF4-FFF2-40B4-BE49-F238E27FC236}">
              <a16:creationId xmlns:a16="http://schemas.microsoft.com/office/drawing/2014/main" id="{702BBC5F-A912-F8A8-BEA8-59D4359D6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290208</xdr:colOff>
      <xdr:row>32</xdr:row>
      <xdr:rowOff>112005</xdr:rowOff>
    </xdr:from>
    <xdr:to>
      <xdr:col>17</xdr:col>
      <xdr:colOff>322636</xdr:colOff>
      <xdr:row>48</xdr:row>
      <xdr:rowOff>123959</xdr:rowOff>
    </xdr:to>
    <xdr:graphicFrame macro="">
      <xdr:nvGraphicFramePr>
        <xdr:cNvPr id="8" name="Chart 7">
          <a:extLst>
            <a:ext uri="{FF2B5EF4-FFF2-40B4-BE49-F238E27FC236}">
              <a16:creationId xmlns:a16="http://schemas.microsoft.com/office/drawing/2014/main" id="{DD8CF25F-97F8-E553-66F7-4F133FCBA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101600</xdr:colOff>
      <xdr:row>0</xdr:row>
      <xdr:rowOff>0</xdr:rowOff>
    </xdr:from>
    <xdr:to>
      <xdr:col>24</xdr:col>
      <xdr:colOff>980385</xdr:colOff>
      <xdr:row>3</xdr:row>
      <xdr:rowOff>162724</xdr:rowOff>
    </xdr:to>
    <xdr:pic>
      <xdr:nvPicPr>
        <xdr:cNvPr id="2" name="Picture 1" descr="UNDRR - Oficina Regional de Las Américas y El Caribe">
          <a:extLst>
            <a:ext uri="{FF2B5EF4-FFF2-40B4-BE49-F238E27FC236}">
              <a16:creationId xmlns:a16="http://schemas.microsoft.com/office/drawing/2014/main" id="{B5C6B557-3397-42F4-A5BB-243ED730C8D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195800" y="0"/>
          <a:ext cx="1761435" cy="926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117890</xdr:colOff>
      <xdr:row>0</xdr:row>
      <xdr:rowOff>138044</xdr:rowOff>
    </xdr:from>
    <xdr:to>
      <xdr:col>9</xdr:col>
      <xdr:colOff>819703</xdr:colOff>
      <xdr:row>1</xdr:row>
      <xdr:rowOff>782378</xdr:rowOff>
    </xdr:to>
    <xdr:pic>
      <xdr:nvPicPr>
        <xdr:cNvPr id="2" name="Picture 1" descr="UNDRR - Oficina Regional de Las Américas y El Caribe">
          <a:extLst>
            <a:ext uri="{FF2B5EF4-FFF2-40B4-BE49-F238E27FC236}">
              <a16:creationId xmlns:a16="http://schemas.microsoft.com/office/drawing/2014/main" id="{C16BE796-B3EC-4C09-B6AB-A54E3BCC68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28064" y="138044"/>
          <a:ext cx="1480378" cy="826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396313</xdr:colOff>
      <xdr:row>0</xdr:row>
      <xdr:rowOff>123390</xdr:rowOff>
    </xdr:from>
    <xdr:to>
      <xdr:col>11</xdr:col>
      <xdr:colOff>49399</xdr:colOff>
      <xdr:row>2</xdr:row>
      <xdr:rowOff>97692</xdr:rowOff>
    </xdr:to>
    <xdr:pic>
      <xdr:nvPicPr>
        <xdr:cNvPr id="4" name="Picture 3" descr="UNDRR - Oficina Regional de Las Américas y El Caribe">
          <a:extLst>
            <a:ext uri="{FF2B5EF4-FFF2-40B4-BE49-F238E27FC236}">
              <a16:creationId xmlns:a16="http://schemas.microsoft.com/office/drawing/2014/main" id="{C93F2D6A-7233-4758-BF31-A8DB3EAE64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10044" y="123390"/>
          <a:ext cx="1484817" cy="990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grafcr.cne.go.cr/" TargetMode="External"/><Relationship Id="rId1" Type="http://schemas.openxmlformats.org/officeDocument/2006/relationships/hyperlink" Target="https://www.mideplan.go.cr/precios-sociales"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hyperlink" Target="https://grafcr.cne.go.cr/" TargetMode="External"/><Relationship Id="rId1" Type="http://schemas.openxmlformats.org/officeDocument/2006/relationships/hyperlink" Target="https://www.mideplan.go.cr/precios-socia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F135-D766-4D68-9521-B21E1CE43213}">
  <sheetPr>
    <tabColor rgb="FF92D050"/>
  </sheetPr>
  <dimension ref="A2:A93"/>
  <sheetViews>
    <sheetView tabSelected="1" zoomScale="70" zoomScaleNormal="70" workbookViewId="0">
      <selection activeCell="A11" sqref="A11"/>
    </sheetView>
  </sheetViews>
  <sheetFormatPr defaultRowHeight="14.5" x14ac:dyDescent="0.35"/>
  <cols>
    <col min="1" max="1" width="152.6328125" style="37" customWidth="1"/>
    <col min="2" max="16384" width="8.7265625" style="34"/>
  </cols>
  <sheetData>
    <row r="2" spans="1:1" x14ac:dyDescent="0.35">
      <c r="A2" s="34"/>
    </row>
    <row r="7" spans="1:1" ht="62" x14ac:dyDescent="0.35">
      <c r="A7" s="38" t="s">
        <v>234</v>
      </c>
    </row>
    <row r="9" spans="1:1" ht="31" x14ac:dyDescent="0.35">
      <c r="A9" s="38" t="s">
        <v>152</v>
      </c>
    </row>
    <row r="11" spans="1:1" ht="23.5" x14ac:dyDescent="0.35">
      <c r="A11" s="39" t="s">
        <v>153</v>
      </c>
    </row>
    <row r="13" spans="1:1" ht="29" x14ac:dyDescent="0.35">
      <c r="A13" s="37" t="s">
        <v>202</v>
      </c>
    </row>
    <row r="15" spans="1:1" ht="43.5" x14ac:dyDescent="0.35">
      <c r="A15" s="37" t="s">
        <v>203</v>
      </c>
    </row>
    <row r="17" spans="1:1" x14ac:dyDescent="0.35">
      <c r="A17" s="51" t="s">
        <v>249</v>
      </c>
    </row>
    <row r="18" spans="1:1" x14ac:dyDescent="0.35">
      <c r="A18" s="52"/>
    </row>
    <row r="19" spans="1:1" x14ac:dyDescent="0.35">
      <c r="A19" s="53" t="s">
        <v>250</v>
      </c>
    </row>
    <row r="20" spans="1:1" x14ac:dyDescent="0.35">
      <c r="A20" s="54" t="s">
        <v>251</v>
      </c>
    </row>
    <row r="21" spans="1:1" x14ac:dyDescent="0.35">
      <c r="A21" s="54" t="s">
        <v>252</v>
      </c>
    </row>
    <row r="22" spans="1:1" x14ac:dyDescent="0.35">
      <c r="A22" s="54" t="s">
        <v>253</v>
      </c>
    </row>
    <row r="23" spans="1:1" x14ac:dyDescent="0.35">
      <c r="A23" s="52"/>
    </row>
    <row r="24" spans="1:1" x14ac:dyDescent="0.35">
      <c r="A24" s="53" t="s">
        <v>254</v>
      </c>
    </row>
    <row r="25" spans="1:1" x14ac:dyDescent="0.35">
      <c r="A25" s="54" t="s">
        <v>255</v>
      </c>
    </row>
    <row r="26" spans="1:1" x14ac:dyDescent="0.35">
      <c r="A26" s="54"/>
    </row>
    <row r="27" spans="1:1" x14ac:dyDescent="0.35">
      <c r="A27" s="55" t="s">
        <v>256</v>
      </c>
    </row>
    <row r="28" spans="1:1" x14ac:dyDescent="0.35">
      <c r="A28" s="55"/>
    </row>
    <row r="29" spans="1:1" ht="17.5" x14ac:dyDescent="0.35">
      <c r="A29" s="40" t="s">
        <v>197</v>
      </c>
    </row>
    <row r="31" spans="1:1" x14ac:dyDescent="0.35">
      <c r="A31" s="37" t="s">
        <v>204</v>
      </c>
    </row>
    <row r="32" spans="1:1" x14ac:dyDescent="0.35">
      <c r="A32" s="41"/>
    </row>
    <row r="33" spans="1:1" ht="29" x14ac:dyDescent="0.35">
      <c r="A33" s="42" t="s">
        <v>205</v>
      </c>
    </row>
    <row r="34" spans="1:1" x14ac:dyDescent="0.35">
      <c r="A34" s="41"/>
    </row>
    <row r="35" spans="1:1" x14ac:dyDescent="0.35">
      <c r="A35" s="42" t="s">
        <v>206</v>
      </c>
    </row>
    <row r="36" spans="1:1" ht="29" x14ac:dyDescent="0.35">
      <c r="A36" s="43" t="s">
        <v>207</v>
      </c>
    </row>
    <row r="37" spans="1:1" x14ac:dyDescent="0.35">
      <c r="A37" s="41"/>
    </row>
    <row r="38" spans="1:1" x14ac:dyDescent="0.35">
      <c r="A38" s="42" t="s">
        <v>198</v>
      </c>
    </row>
    <row r="39" spans="1:1" ht="29" x14ac:dyDescent="0.35">
      <c r="A39" s="43" t="s">
        <v>208</v>
      </c>
    </row>
    <row r="40" spans="1:1" x14ac:dyDescent="0.35">
      <c r="A40" s="41"/>
    </row>
    <row r="41" spans="1:1" x14ac:dyDescent="0.35">
      <c r="A41" s="42" t="s">
        <v>209</v>
      </c>
    </row>
    <row r="42" spans="1:1" ht="29" x14ac:dyDescent="0.35">
      <c r="A42" s="43" t="s">
        <v>210</v>
      </c>
    </row>
    <row r="44" spans="1:1" ht="17.5" x14ac:dyDescent="0.35">
      <c r="A44" s="40" t="s">
        <v>199</v>
      </c>
    </row>
    <row r="46" spans="1:1" x14ac:dyDescent="0.35">
      <c r="A46" s="37" t="s">
        <v>211</v>
      </c>
    </row>
    <row r="47" spans="1:1" x14ac:dyDescent="0.35">
      <c r="A47" s="41"/>
    </row>
    <row r="48" spans="1:1" x14ac:dyDescent="0.35">
      <c r="A48" s="42" t="s">
        <v>212</v>
      </c>
    </row>
    <row r="49" spans="1:1" x14ac:dyDescent="0.35">
      <c r="A49" s="41"/>
    </row>
    <row r="50" spans="1:1" x14ac:dyDescent="0.35">
      <c r="A50" s="45" t="s">
        <v>213</v>
      </c>
    </row>
    <row r="51" spans="1:1" ht="29" x14ac:dyDescent="0.35">
      <c r="A51" s="45" t="s">
        <v>214</v>
      </c>
    </row>
    <row r="52" spans="1:1" ht="29" x14ac:dyDescent="0.35">
      <c r="A52" s="45" t="s">
        <v>215</v>
      </c>
    </row>
    <row r="54" spans="1:1" ht="17.5" x14ac:dyDescent="0.35">
      <c r="A54" s="40" t="s">
        <v>200</v>
      </c>
    </row>
    <row r="56" spans="1:1" x14ac:dyDescent="0.35">
      <c r="A56" s="37" t="s">
        <v>216</v>
      </c>
    </row>
    <row r="57" spans="1:1" x14ac:dyDescent="0.35">
      <c r="A57" s="41"/>
    </row>
    <row r="58" spans="1:1" x14ac:dyDescent="0.35">
      <c r="A58" s="42" t="s">
        <v>217</v>
      </c>
    </row>
    <row r="59" spans="1:1" ht="29" x14ac:dyDescent="0.35">
      <c r="A59" s="43" t="s">
        <v>267</v>
      </c>
    </row>
    <row r="60" spans="1:1" x14ac:dyDescent="0.35">
      <c r="A60" s="41"/>
    </row>
    <row r="61" spans="1:1" x14ac:dyDescent="0.35">
      <c r="A61" s="43" t="s">
        <v>218</v>
      </c>
    </row>
    <row r="62" spans="1:1" x14ac:dyDescent="0.35">
      <c r="A62" s="41"/>
    </row>
    <row r="63" spans="1:1" ht="29" x14ac:dyDescent="0.35">
      <c r="A63" s="42" t="s">
        <v>231</v>
      </c>
    </row>
    <row r="64" spans="1:1" x14ac:dyDescent="0.35">
      <c r="A64" s="41"/>
    </row>
    <row r="65" spans="1:1" x14ac:dyDescent="0.35">
      <c r="A65" s="45" t="s">
        <v>219</v>
      </c>
    </row>
    <row r="66" spans="1:1" x14ac:dyDescent="0.35">
      <c r="A66" s="45" t="s">
        <v>220</v>
      </c>
    </row>
    <row r="68" spans="1:1" ht="17.5" x14ac:dyDescent="0.35">
      <c r="A68" s="40" t="s">
        <v>221</v>
      </c>
    </row>
    <row r="69" spans="1:1" x14ac:dyDescent="0.35">
      <c r="A69" s="41"/>
    </row>
    <row r="70" spans="1:1" x14ac:dyDescent="0.35">
      <c r="A70" s="42" t="s">
        <v>222</v>
      </c>
    </row>
    <row r="71" spans="1:1" x14ac:dyDescent="0.35">
      <c r="A71" s="46"/>
    </row>
    <row r="72" spans="1:1" x14ac:dyDescent="0.35">
      <c r="A72" s="45" t="s">
        <v>223</v>
      </c>
    </row>
    <row r="73" spans="1:1" x14ac:dyDescent="0.35">
      <c r="A73" s="46"/>
    </row>
    <row r="74" spans="1:1" x14ac:dyDescent="0.35">
      <c r="A74" s="45" t="s">
        <v>268</v>
      </c>
    </row>
    <row r="75" spans="1:1" x14ac:dyDescent="0.35">
      <c r="A75" s="41"/>
    </row>
    <row r="76" spans="1:1" x14ac:dyDescent="0.35">
      <c r="A76" s="42" t="s">
        <v>224</v>
      </c>
    </row>
    <row r="77" spans="1:1" x14ac:dyDescent="0.35">
      <c r="A77" s="41"/>
    </row>
    <row r="78" spans="1:1" x14ac:dyDescent="0.35">
      <c r="A78" s="45" t="s">
        <v>225</v>
      </c>
    </row>
    <row r="79" spans="1:1" x14ac:dyDescent="0.35">
      <c r="A79" s="46"/>
    </row>
    <row r="80" spans="1:1" x14ac:dyDescent="0.35">
      <c r="A80" s="45" t="s">
        <v>226</v>
      </c>
    </row>
    <row r="82" spans="1:1" ht="23.5" x14ac:dyDescent="0.35">
      <c r="A82" s="39" t="s">
        <v>201</v>
      </c>
    </row>
    <row r="84" spans="1:1" ht="58" x14ac:dyDescent="0.35">
      <c r="A84" s="44" t="s">
        <v>269</v>
      </c>
    </row>
    <row r="86" spans="1:1" ht="43.5" x14ac:dyDescent="0.35">
      <c r="A86" s="44" t="s">
        <v>257</v>
      </c>
    </row>
    <row r="87" spans="1:1" ht="43.5" x14ac:dyDescent="0.35">
      <c r="A87" s="44" t="s">
        <v>227</v>
      </c>
    </row>
    <row r="89" spans="1:1" ht="29" x14ac:dyDescent="0.35">
      <c r="A89" s="44" t="s">
        <v>228</v>
      </c>
    </row>
    <row r="90" spans="1:1" x14ac:dyDescent="0.35">
      <c r="A90" s="41"/>
    </row>
    <row r="91" spans="1:1" x14ac:dyDescent="0.35">
      <c r="A91" s="42" t="s">
        <v>229</v>
      </c>
    </row>
    <row r="92" spans="1:1" x14ac:dyDescent="0.35">
      <c r="A92" s="41"/>
    </row>
    <row r="93" spans="1:1" ht="29" x14ac:dyDescent="0.35">
      <c r="A93" s="42" t="s">
        <v>230</v>
      </c>
    </row>
  </sheetData>
  <sheetProtection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B6FE-6B1B-48F4-B632-22B94C64B165}">
  <sheetPr>
    <tabColor rgb="FF92D050"/>
  </sheetPr>
  <dimension ref="A2:AR90"/>
  <sheetViews>
    <sheetView zoomScale="70" zoomScaleNormal="70" workbookViewId="0">
      <selection activeCell="C13" sqref="C13"/>
    </sheetView>
  </sheetViews>
  <sheetFormatPr defaultRowHeight="14.5" x14ac:dyDescent="0.35"/>
  <cols>
    <col min="1" max="1" width="8.7265625" style="4"/>
    <col min="2" max="2" width="16.1796875" style="4" bestFit="1" customWidth="1"/>
    <col min="3" max="3" width="29.6328125" style="4" bestFit="1" customWidth="1"/>
    <col min="4" max="4" width="11.7265625" style="4" customWidth="1"/>
    <col min="5" max="5" width="10.7265625" style="4" bestFit="1" customWidth="1"/>
    <col min="6" max="6" width="16.26953125" style="4" customWidth="1"/>
    <col min="7" max="7" width="15" style="4" customWidth="1"/>
    <col min="8" max="8" width="11.81640625" style="4" hidden="1" customWidth="1"/>
    <col min="9" max="9" width="16" style="4" hidden="1" customWidth="1"/>
    <col min="10" max="11" width="13.26953125" style="4" hidden="1" customWidth="1"/>
    <col min="12" max="13" width="13.26953125" style="4" customWidth="1"/>
    <col min="14" max="14" width="12.81640625" style="4" bestFit="1" customWidth="1"/>
    <col min="15" max="15" width="34.1796875" style="4" bestFit="1" customWidth="1"/>
    <col min="16" max="16" width="16.7265625" style="4" bestFit="1" customWidth="1"/>
    <col min="17" max="17" width="14.90625" style="4" hidden="1" customWidth="1"/>
    <col min="18" max="18" width="12.6328125" style="4" bestFit="1" customWidth="1"/>
    <col min="19" max="19" width="13.6328125" style="4" bestFit="1" customWidth="1"/>
    <col min="20" max="20" width="14.90625" style="4" customWidth="1"/>
    <col min="21" max="21" width="13.90625" style="4" bestFit="1" customWidth="1"/>
    <col min="22" max="22" width="14.26953125" style="4" customWidth="1"/>
    <col min="23" max="23" width="13.90625" style="4" bestFit="1" customWidth="1"/>
    <col min="24" max="24" width="12.6328125" style="4" customWidth="1"/>
    <col min="25" max="25" width="14.1796875" style="4" bestFit="1" customWidth="1"/>
    <col min="26" max="34" width="8.7265625" style="4"/>
    <col min="35" max="39" width="4.7265625" style="59" customWidth="1"/>
    <col min="40" max="40" width="17.81640625" style="59" bestFit="1" customWidth="1"/>
    <col min="41" max="42" width="4.7265625" style="59" customWidth="1"/>
    <col min="43" max="43" width="8.7265625" style="59"/>
    <col min="44" max="44" width="8.7265625" style="56"/>
    <col min="45" max="16384" width="8.7265625" style="4"/>
  </cols>
  <sheetData>
    <row r="2" spans="1:44" ht="31" x14ac:dyDescent="0.35">
      <c r="A2" s="80" t="s">
        <v>234</v>
      </c>
      <c r="B2" s="80"/>
      <c r="C2" s="80"/>
      <c r="D2" s="80"/>
      <c r="E2" s="80"/>
      <c r="F2" s="80"/>
      <c r="G2" s="80"/>
      <c r="H2" s="80"/>
      <c r="I2" s="80"/>
      <c r="J2" s="80"/>
      <c r="K2" s="80"/>
      <c r="L2" s="80"/>
      <c r="M2" s="80"/>
      <c r="N2" s="80"/>
      <c r="O2" s="80"/>
      <c r="P2" s="80"/>
      <c r="Q2" s="80"/>
      <c r="R2" s="80"/>
      <c r="S2" s="80"/>
      <c r="T2" s="80"/>
      <c r="U2" s="80"/>
      <c r="V2" s="80"/>
      <c r="W2" s="80"/>
    </row>
    <row r="5" spans="1:44" ht="28.5" x14ac:dyDescent="0.65">
      <c r="A5" s="36" t="s">
        <v>171</v>
      </c>
      <c r="B5" s="36"/>
      <c r="C5" s="36"/>
    </row>
    <row r="7" spans="1:44" ht="17" customHeight="1" x14ac:dyDescent="0.35">
      <c r="A7" s="12"/>
      <c r="B7" s="11"/>
      <c r="C7" t="s">
        <v>169</v>
      </c>
      <c r="N7" s="4" t="s">
        <v>247</v>
      </c>
    </row>
    <row r="8" spans="1:44" ht="17" customHeight="1" x14ac:dyDescent="0.35"/>
    <row r="9" spans="1:44" s="21" customFormat="1" ht="19" customHeight="1" x14ac:dyDescent="0.35">
      <c r="A9" s="4"/>
      <c r="B9" s="20" t="s">
        <v>154</v>
      </c>
      <c r="C9" s="20" t="s">
        <v>235</v>
      </c>
      <c r="D9" s="20" t="s">
        <v>67</v>
      </c>
      <c r="E9" s="20" t="s">
        <v>68</v>
      </c>
      <c r="F9" s="20" t="s">
        <v>69</v>
      </c>
      <c r="G9" s="20" t="s">
        <v>240</v>
      </c>
      <c r="H9" s="20" t="s">
        <v>95</v>
      </c>
      <c r="I9" s="20" t="s">
        <v>96</v>
      </c>
      <c r="J9" s="20" t="s">
        <v>97</v>
      </c>
      <c r="K9" s="20" t="s">
        <v>99</v>
      </c>
      <c r="L9" s="20" t="s">
        <v>109</v>
      </c>
      <c r="M9" s="20" t="s">
        <v>104</v>
      </c>
      <c r="N9" s="20" t="s">
        <v>98</v>
      </c>
      <c r="O9" s="20" t="s">
        <v>101</v>
      </c>
      <c r="P9" s="20" t="s">
        <v>102</v>
      </c>
      <c r="Q9" s="20" t="s">
        <v>103</v>
      </c>
      <c r="R9" s="20" t="s">
        <v>105</v>
      </c>
      <c r="S9" s="20" t="s">
        <v>233</v>
      </c>
      <c r="T9" s="20" t="s">
        <v>106</v>
      </c>
      <c r="U9" s="20" t="s">
        <v>107</v>
      </c>
      <c r="V9" s="20" t="s">
        <v>108</v>
      </c>
      <c r="W9" s="20" t="s">
        <v>119</v>
      </c>
      <c r="X9" s="20" t="s">
        <v>120</v>
      </c>
      <c r="Y9" s="20" t="s">
        <v>116</v>
      </c>
      <c r="AI9" s="47" t="s">
        <v>161</v>
      </c>
      <c r="AJ9" s="47" t="s">
        <v>164</v>
      </c>
      <c r="AK9" s="47" t="s">
        <v>162</v>
      </c>
      <c r="AL9" s="47" t="s">
        <v>165</v>
      </c>
      <c r="AM9" s="47"/>
      <c r="AN9" s="47" t="s">
        <v>163</v>
      </c>
      <c r="AO9" s="47" t="s">
        <v>164</v>
      </c>
      <c r="AP9" s="47" t="s">
        <v>162</v>
      </c>
      <c r="AQ9" s="60"/>
      <c r="AR9" s="57"/>
    </row>
    <row r="10" spans="1:44" s="5" customFormat="1" ht="19" customHeight="1" x14ac:dyDescent="0.35">
      <c r="A10" s="4"/>
      <c r="B10" s="64" t="s">
        <v>237</v>
      </c>
      <c r="C10" s="64" t="s">
        <v>236</v>
      </c>
      <c r="D10" s="64" t="s">
        <v>52</v>
      </c>
      <c r="E10" s="64" t="s">
        <v>20</v>
      </c>
      <c r="F10" s="64" t="s">
        <v>1</v>
      </c>
      <c r="G10" s="65">
        <v>1440000</v>
      </c>
      <c r="H10" s="66">
        <f>IF(D10="","-", INDEX(asset_counts_canton!$B$2:$G$83,MATCH(Principal!E10,asset_counts_canton!$A$2:$A$83,0),MATCH(Principal!F10,asset_counts_canton!$B$1:$G$1,0)))</f>
        <v>91</v>
      </c>
      <c r="I10" s="67">
        <f>IF(D10="","-", INDEX(average_aalr_tot_canton!$B$2:$G$83,MATCH(E10,average_aalr_tot_canton!$A$2:$A$83,0),MATCH(F10,average_aalr_tot_canton!$B$1:$G$1,0)))</f>
        <v>1.44780219780219E-2</v>
      </c>
      <c r="J10" s="67">
        <f>IF(D10="","-", INDEX(std_dev_aalr_tot_canton!$B$2:$G$83,MATCH(E10,std_dev_aalr_tot_canton!$A$2:$A$83,0),MATCH(F10,std_dev_aalr_tot_canton!$B$1:$G$1,0)))</f>
        <v>4.3378387398386002E-3</v>
      </c>
      <c r="K10" s="67">
        <f>IF(D10="","-", INDEX(min_aalr_tot_canton!$B$2:$G$83,MATCH(E10,min_aalr_tot_canton!$A$2:$A$83,0),MATCH(F10,min_aalr_tot_canton!$B$1:$G$1,0)))</f>
        <v>1.03E-2</v>
      </c>
      <c r="L10" s="68" t="s">
        <v>110</v>
      </c>
      <c r="M10" s="22">
        <f>IF(D10="","-", IF(L10="Promedio",I10, IF(L10="Alta",(I10+2*J10),AVERAGE(K10,I10))))</f>
        <v>2.3153699457699101E-2</v>
      </c>
      <c r="N10" s="23">
        <f>IF(D10="","-", M10*G10)</f>
        <v>33341.327219086706</v>
      </c>
      <c r="O10" s="64" t="s">
        <v>175</v>
      </c>
      <c r="P10" s="24">
        <f>IF(D10="","-", Principal!G10*VLOOKUP(Principal!O10,Intervenciones!$B$12:$E$23,3,FALSE))</f>
        <v>72000</v>
      </c>
      <c r="Q10" s="22">
        <f>IF(D10="","-", MAX(0.001,N10/G10*(1-VLOOKUP(O10,Intervenciones!$B$12:$E$23,4,FALSE))))</f>
        <v>1.8522959566159281E-2</v>
      </c>
      <c r="R10" s="25">
        <f>IF(D10="","-", Q10*G10)</f>
        <v>26673.061775269365</v>
      </c>
      <c r="S10" s="25">
        <f>IF(D10="","-",N10-R10)</f>
        <v>6668.2654438173413</v>
      </c>
      <c r="T10" s="64">
        <v>50</v>
      </c>
      <c r="U10" s="69">
        <v>0.04</v>
      </c>
      <c r="V10" s="26">
        <f>IF(D10="","-", PV(U10,T10,-(N10-R10)))</f>
        <v>143248.90933703849</v>
      </c>
      <c r="W10" s="9">
        <f>IF(D10="","-", PV(Listas!$K$3,T10,-(N10-R10)*Listas!$L$3)/1000)</f>
        <v>78.761404470098228</v>
      </c>
      <c r="X10" s="24">
        <f>IF(D10="","-", W10*Listas!$M$3)</f>
        <v>3150.4561788039291</v>
      </c>
      <c r="Y10" s="27">
        <f>IF(D10="","-", (V10+X10)/P10)</f>
        <v>2.033324521053367</v>
      </c>
      <c r="AI10" s="48" t="s">
        <v>9</v>
      </c>
      <c r="AJ10" s="49">
        <f t="shared" ref="AJ10:AJ16" si="0">SUMIF(D:D, AI10, G:G)</f>
        <v>60000000</v>
      </c>
      <c r="AK10" s="49">
        <f t="shared" ref="AK10:AK16" si="1">SUMIF(D:D, AI10, P:P)</f>
        <v>7500000</v>
      </c>
      <c r="AL10" s="49">
        <f t="shared" ref="AL10:AL16" si="2">SUMIF(D:D, AI10, V:V)</f>
        <v>1388084.3496546405</v>
      </c>
      <c r="AM10" s="49"/>
      <c r="AN10" s="48" t="s">
        <v>1</v>
      </c>
      <c r="AO10" s="49">
        <f t="shared" ref="AO10:AO13" si="3">SUMIF(F:F, AN10, G:G)</f>
        <v>10040000</v>
      </c>
      <c r="AP10" s="49">
        <f t="shared" ref="AP10:AP13" si="4">SUMIF(F:F, AN10, P:P)</f>
        <v>5407000</v>
      </c>
      <c r="AQ10" s="61"/>
      <c r="AR10" s="58"/>
    </row>
    <row r="11" spans="1:44" ht="19" customHeight="1" x14ac:dyDescent="0.35">
      <c r="A11" s="12"/>
      <c r="B11" s="64" t="s">
        <v>239</v>
      </c>
      <c r="C11" s="64" t="s">
        <v>238</v>
      </c>
      <c r="D11" s="64" t="s">
        <v>71</v>
      </c>
      <c r="E11" s="64" t="s">
        <v>12</v>
      </c>
      <c r="F11" s="64" t="s">
        <v>1</v>
      </c>
      <c r="G11" s="65">
        <v>3000000</v>
      </c>
      <c r="H11" s="66">
        <f>IF(D11="","-", INDEX(asset_counts_canton!$B$2:$G$83,MATCH(Principal!E11,asset_counts_canton!$A$2:$A$83,0),MATCH(Principal!F11,asset_counts_canton!$B$1:$G$1,0)))</f>
        <v>33</v>
      </c>
      <c r="I11" s="67">
        <f>IF(D11="","-", INDEX(average_aalr_tot_canton!$B$2:$G$83,MATCH(E11,average_aalr_tot_canton!$A$2:$A$83,0),MATCH(F11,average_aalr_tot_canton!$B$1:$G$1,0)))</f>
        <v>1.5339393939393899E-2</v>
      </c>
      <c r="J11" s="67">
        <f>IF(D11="","-", INDEX(std_dev_aalr_tot_canton!$B$2:$G$83,MATCH(E11,std_dev_aalr_tot_canton!$A$2:$A$83,0),MATCH(F11,std_dev_aalr_tot_canton!$B$1:$G$1,0)))</f>
        <v>5.1124198889774004E-3</v>
      </c>
      <c r="K11" s="67">
        <f>IF(D11="","-", INDEX(min_aalr_tot_canton!$B$2:$G$83,MATCH(E11,min_aalr_tot_canton!$A$2:$A$83,0),MATCH(F11,min_aalr_tot_canton!$B$1:$G$1,0)))</f>
        <v>1.21E-2</v>
      </c>
      <c r="L11" s="68" t="s">
        <v>110</v>
      </c>
      <c r="M11" s="22">
        <f t="shared" ref="M11:M19" si="5">IF(D11="","-", IF(L11="Promedio",I11, IF(L11="Alta",(I11+2*J11),AVERAGE(K11,I11))))</f>
        <v>2.55642337173487E-2</v>
      </c>
      <c r="N11" s="23">
        <f t="shared" ref="N11:N13" si="6">IF(D11="","-", M11*G11)</f>
        <v>76692.701152046095</v>
      </c>
      <c r="O11" s="64" t="s">
        <v>177</v>
      </c>
      <c r="P11" s="24">
        <f>IF(D11="","-", Principal!G11*VLOOKUP(Principal!O11,Intervenciones!$B$12:$E$23,3,FALSE))</f>
        <v>1050000</v>
      </c>
      <c r="Q11" s="22">
        <f>IF(D11="","-", MAX(0.001,N11/G11*(1-VLOOKUP(O11,Intervenciones!$B$12:$E$23,4,FALSE))))</f>
        <v>7.6692701152046103E-3</v>
      </c>
      <c r="R11" s="25">
        <f t="shared" ref="R11:R13" si="7">IF(D11="","-", Q11*G11)</f>
        <v>23007.810345613831</v>
      </c>
      <c r="S11" s="25">
        <f t="shared" ref="S11:S19" si="8">IF(D11="","-",N11-R11)</f>
        <v>53684.89080643226</v>
      </c>
      <c r="T11" s="64">
        <v>50</v>
      </c>
      <c r="U11" s="69">
        <v>0.04</v>
      </c>
      <c r="V11" s="26">
        <f t="shared" ref="V11:V13" si="9">IF(D11="","-", PV(U11,T11,-(N11-R11)))</f>
        <v>1153268.7354294951</v>
      </c>
      <c r="W11" s="9">
        <f>IF(D11="","-", PV(Listas!$K$3,T11,-(N11-R11)*Listas!$L$3)/1000)</f>
        <v>634.09254391017794</v>
      </c>
      <c r="X11" s="24">
        <f>IF(D11="","-", W11*Listas!$M$3)</f>
        <v>25363.701756407118</v>
      </c>
      <c r="Y11" s="27">
        <f t="shared" ref="Y11:Y19" si="10">IF(D11="","-", (V11+X11)/P11)</f>
        <v>1.1225070830341926</v>
      </c>
      <c r="AI11" s="48" t="s">
        <v>18</v>
      </c>
      <c r="AJ11" s="49">
        <f t="shared" si="0"/>
        <v>0</v>
      </c>
      <c r="AK11" s="49">
        <f t="shared" si="1"/>
        <v>0</v>
      </c>
      <c r="AL11" s="49">
        <f t="shared" si="2"/>
        <v>0</v>
      </c>
      <c r="AM11" s="49"/>
      <c r="AN11" s="48" t="s">
        <v>3</v>
      </c>
      <c r="AO11" s="49">
        <f t="shared" si="3"/>
        <v>0</v>
      </c>
      <c r="AP11" s="49">
        <f t="shared" si="4"/>
        <v>0</v>
      </c>
    </row>
    <row r="12" spans="1:44" ht="19" customHeight="1" x14ac:dyDescent="0.35">
      <c r="B12" s="64" t="s">
        <v>241</v>
      </c>
      <c r="C12" s="64" t="s">
        <v>242</v>
      </c>
      <c r="D12" s="64" t="s">
        <v>9</v>
      </c>
      <c r="E12" s="64" t="s">
        <v>78</v>
      </c>
      <c r="F12" s="64" t="s">
        <v>5</v>
      </c>
      <c r="G12" s="65">
        <v>30000000</v>
      </c>
      <c r="H12" s="66">
        <f>IF(D12="","-", INDEX(asset_counts_canton!$B$2:$G$83,MATCH(Principal!E12,asset_counts_canton!$A$2:$A$83,0),MATCH(Principal!F12,asset_counts_canton!$B$1:$G$1,0)))</f>
        <v>65</v>
      </c>
      <c r="I12" s="67">
        <f>IF(D12="","-", INDEX(average_aalr_tot_canton!$B$2:$G$83,MATCH(E12,average_aalr_tot_canton!$A$2:$A$83,0),MATCH(F12,average_aalr_tot_canton!$B$1:$G$1,0)))</f>
        <v>3.4111111111111E-3</v>
      </c>
      <c r="J12" s="67">
        <f>IF(D12="","-", INDEX(std_dev_aalr_tot_canton!$B$2:$G$83,MATCH(E12,std_dev_aalr_tot_canton!$A$2:$A$83,0),MATCH(F12,std_dev_aalr_tot_canton!$B$1:$G$1,0)))</f>
        <v>2.3691642129873998E-3</v>
      </c>
      <c r="K12" s="67">
        <f>IF(D12="","-", INDEX(min_aalr_tot_canton!$B$2:$G$83,MATCH(E12,min_aalr_tot_canton!$A$2:$A$83,0),MATCH(F12,min_aalr_tot_canton!$B$1:$G$1,0)))</f>
        <v>8.9999999999999998E-4</v>
      </c>
      <c r="L12" s="68" t="s">
        <v>110</v>
      </c>
      <c r="M12" s="22">
        <f t="shared" si="5"/>
        <v>8.1494395370858997E-3</v>
      </c>
      <c r="N12" s="23">
        <f t="shared" si="6"/>
        <v>244483.18611257698</v>
      </c>
      <c r="O12" s="64" t="s">
        <v>186</v>
      </c>
      <c r="P12" s="24">
        <f>IF(D12="","-", Principal!G12*VLOOKUP(Principal!O12,Intervenciones!$B$12:$E$23,3,FALSE))</f>
        <v>4500000</v>
      </c>
      <c r="Q12" s="22">
        <f>IF(D12="","-", MAX(0.001,N12/G12*(1-VLOOKUP(O12,Intervenciones!$B$12:$E$23,4,FALSE))))</f>
        <v>4.8896637222515396E-3</v>
      </c>
      <c r="R12" s="25">
        <f t="shared" si="7"/>
        <v>146689.9116675462</v>
      </c>
      <c r="S12" s="25">
        <f t="shared" si="8"/>
        <v>97793.27444503078</v>
      </c>
      <c r="T12" s="64">
        <v>10</v>
      </c>
      <c r="U12" s="69">
        <v>0.04</v>
      </c>
      <c r="V12" s="26">
        <f t="shared" si="9"/>
        <v>793191.05694550881</v>
      </c>
      <c r="W12" s="9">
        <f>IF(D12="","-", PV(Listas!$K$3,T12,-(N12-R12)*Listas!$L$3)/1000)</f>
        <v>647.12360289545916</v>
      </c>
      <c r="X12" s="24">
        <f>IF(D12="","-", W12*Listas!$M$3)</f>
        <v>25884.944115818365</v>
      </c>
      <c r="Y12" s="27">
        <f t="shared" si="10"/>
        <v>0.18201688912473937</v>
      </c>
      <c r="AI12" s="48" t="s">
        <v>66</v>
      </c>
      <c r="AJ12" s="49">
        <f t="shared" si="0"/>
        <v>3100000</v>
      </c>
      <c r="AK12" s="49">
        <f t="shared" si="1"/>
        <v>3410000.0000000005</v>
      </c>
      <c r="AL12" s="49">
        <f t="shared" si="2"/>
        <v>685234.15786567202</v>
      </c>
      <c r="AM12" s="49"/>
      <c r="AN12" s="48" t="s">
        <v>4</v>
      </c>
      <c r="AO12" s="49">
        <f t="shared" si="3"/>
        <v>4000000</v>
      </c>
      <c r="AP12" s="49">
        <f t="shared" si="4"/>
        <v>1600000</v>
      </c>
    </row>
    <row r="13" spans="1:44" ht="19" customHeight="1" x14ac:dyDescent="0.35">
      <c r="A13" s="13"/>
      <c r="B13" s="64" t="s">
        <v>241</v>
      </c>
      <c r="C13" s="64" t="s">
        <v>242</v>
      </c>
      <c r="D13" s="64" t="s">
        <v>9</v>
      </c>
      <c r="E13" s="64" t="s">
        <v>78</v>
      </c>
      <c r="F13" s="64" t="s">
        <v>5</v>
      </c>
      <c r="G13" s="65">
        <v>30000000</v>
      </c>
      <c r="H13" s="66">
        <f>IF(D13="","-", INDEX(asset_counts_canton!$B$2:$G$83,MATCH(Principal!E13,asset_counts_canton!$A$2:$A$83,0),MATCH(Principal!F13,asset_counts_canton!$B$1:$G$1,0)))</f>
        <v>65</v>
      </c>
      <c r="I13" s="67">
        <f>IF(D13="","-", INDEX(average_aalr_tot_canton!$B$2:$G$83,MATCH(E13,average_aalr_tot_canton!$A$2:$A$83,0),MATCH(F13,average_aalr_tot_canton!$B$1:$G$1,0)))</f>
        <v>3.4111111111111E-3</v>
      </c>
      <c r="J13" s="67">
        <f>IF(D13="","-", INDEX(std_dev_aalr_tot_canton!$B$2:$G$83,MATCH(E13,std_dev_aalr_tot_canton!$A$2:$A$83,0),MATCH(F13,std_dev_aalr_tot_canton!$B$1:$G$1,0)))</f>
        <v>2.3691642129873998E-3</v>
      </c>
      <c r="K13" s="67">
        <f>IF(D13="","-", INDEX(min_aalr_tot_canton!$B$2:$G$83,MATCH(E13,min_aalr_tot_canton!$A$2:$A$83,0),MATCH(F13,min_aalr_tot_canton!$B$1:$G$1,0)))</f>
        <v>8.9999999999999998E-4</v>
      </c>
      <c r="L13" s="68" t="s">
        <v>110</v>
      </c>
      <c r="M13" s="22">
        <f t="shared" si="5"/>
        <v>8.1494395370858997E-3</v>
      </c>
      <c r="N13" s="23">
        <f t="shared" si="6"/>
        <v>244483.18611257698</v>
      </c>
      <c r="O13" s="64" t="s">
        <v>188</v>
      </c>
      <c r="P13" s="24">
        <f>IF(D13="","-", Principal!G13*VLOOKUP(Principal!O13,Intervenciones!$B$12:$E$23,3,FALSE))</f>
        <v>3000000</v>
      </c>
      <c r="Q13" s="22">
        <f>IF(D13="","-", MAX(0.001,N13/G13*(1-VLOOKUP(O13,Intervenciones!$B$12:$E$23,4,FALSE))))</f>
        <v>5.7046076759601294E-3</v>
      </c>
      <c r="R13" s="25">
        <f t="shared" si="7"/>
        <v>171138.23027880388</v>
      </c>
      <c r="S13" s="25">
        <f t="shared" si="8"/>
        <v>73344.9558337731</v>
      </c>
      <c r="T13" s="64">
        <v>10</v>
      </c>
      <c r="U13" s="69">
        <v>0.04</v>
      </c>
      <c r="V13" s="26">
        <f t="shared" si="9"/>
        <v>594893.29270913173</v>
      </c>
      <c r="W13" s="9">
        <f>IF(D13="","-", PV(Listas!$K$3,T13,-(N13-R13)*Listas!$L$3)/1000)</f>
        <v>485.34270217159457</v>
      </c>
      <c r="X13" s="24">
        <f>IF(D13="","-", W13*Listas!$M$3)</f>
        <v>19413.708086863782</v>
      </c>
      <c r="Y13" s="27">
        <f t="shared" si="10"/>
        <v>0.20476900026533182</v>
      </c>
      <c r="AI13" s="48" t="s">
        <v>33</v>
      </c>
      <c r="AJ13" s="49">
        <f t="shared" si="0"/>
        <v>4000000</v>
      </c>
      <c r="AK13" s="49">
        <f t="shared" si="1"/>
        <v>1600000</v>
      </c>
      <c r="AL13" s="49">
        <f t="shared" si="2"/>
        <v>5829642.2488476411</v>
      </c>
      <c r="AM13" s="49"/>
      <c r="AN13" s="48" t="s">
        <v>5</v>
      </c>
      <c r="AO13" s="49">
        <f t="shared" si="3"/>
        <v>60000000</v>
      </c>
      <c r="AP13" s="49">
        <f t="shared" si="4"/>
        <v>7500000</v>
      </c>
    </row>
    <row r="14" spans="1:44" ht="19" customHeight="1" x14ac:dyDescent="0.35">
      <c r="A14" s="28"/>
      <c r="B14" s="64" t="s">
        <v>244</v>
      </c>
      <c r="C14" s="64" t="s">
        <v>243</v>
      </c>
      <c r="D14" s="64" t="s">
        <v>52</v>
      </c>
      <c r="E14" s="64" t="s">
        <v>46</v>
      </c>
      <c r="F14" s="64" t="s">
        <v>1</v>
      </c>
      <c r="G14" s="65">
        <v>2500000</v>
      </c>
      <c r="H14" s="66">
        <f>IF(D14="","-", INDEX(asset_counts_canton!$B$2:$G$83,MATCH(Principal!E14,asset_counts_canton!$A$2:$A$83,0),MATCH(Principal!F14,asset_counts_canton!$B$1:$G$1,0)))</f>
        <v>101</v>
      </c>
      <c r="I14" s="67">
        <f>IF(D14="","-", INDEX(average_aalr_tot_canton!$B$2:$G$83,MATCH(E14,average_aalr_tot_canton!$A$2:$A$83,0),MATCH(F14,average_aalr_tot_canton!$B$1:$G$1,0)))</f>
        <v>1.39900990099009E-2</v>
      </c>
      <c r="J14" s="67">
        <f>IF(D14="","-", INDEX(std_dev_aalr_tot_canton!$B$2:$G$83,MATCH(E14,std_dev_aalr_tot_canton!$A$2:$A$83,0),MATCH(F14,std_dev_aalr_tot_canton!$B$1:$G$1,0)))</f>
        <v>3.7836888072485999E-3</v>
      </c>
      <c r="K14" s="67">
        <f>IF(D14="","-", INDEX(min_aalr_tot_canton!$B$2:$G$83,MATCH(E14,min_aalr_tot_canton!$A$2:$A$83,0),MATCH(F14,min_aalr_tot_canton!$B$1:$G$1,0)))</f>
        <v>1.11E-2</v>
      </c>
      <c r="L14" s="68" t="s">
        <v>110</v>
      </c>
      <c r="M14" s="22">
        <f t="shared" si="5"/>
        <v>2.1557476624398102E-2</v>
      </c>
      <c r="N14" s="23">
        <f>IF(D14="","-", M14*G14)</f>
        <v>53893.691560995256</v>
      </c>
      <c r="O14" s="64" t="s">
        <v>177</v>
      </c>
      <c r="P14" s="24">
        <f>IF(D14="","-", Principal!G14*VLOOKUP(Principal!O14,Intervenciones!$B$12:$E$23,3,FALSE))</f>
        <v>875000</v>
      </c>
      <c r="Q14" s="22">
        <f>IF(D14="","-", MAX(0.001,N14/G14*(1-VLOOKUP(O14,Intervenciones!$B$12:$E$23,4,FALSE))))</f>
        <v>6.4672429873194317E-3</v>
      </c>
      <c r="R14" s="25">
        <f>IF(D14="","-", Q14*G14)</f>
        <v>16168.10746829858</v>
      </c>
      <c r="S14" s="25">
        <f t="shared" si="8"/>
        <v>37725.584092696678</v>
      </c>
      <c r="T14" s="64">
        <v>50</v>
      </c>
      <c r="U14" s="69">
        <v>0.04</v>
      </c>
      <c r="V14" s="26">
        <f>IF(D14="","-", PV(U14,T14,-(N14-R14)))</f>
        <v>810427.96225098195</v>
      </c>
      <c r="W14" s="9">
        <f>IF(D14="","-", PV(Listas!$K$3,T14,-(N14-R14)*Listas!$L$3)/1000)</f>
        <v>445.59113799984146</v>
      </c>
      <c r="X14" s="24">
        <f>IF(D14="","-", W14*Listas!$M$3)</f>
        <v>17823.645519993657</v>
      </c>
      <c r="Y14" s="27">
        <f t="shared" si="10"/>
        <v>0.94657326602397207</v>
      </c>
      <c r="AI14" s="48" t="s">
        <v>37</v>
      </c>
      <c r="AJ14" s="49">
        <f t="shared" si="0"/>
        <v>0</v>
      </c>
      <c r="AK14" s="49">
        <f t="shared" si="1"/>
        <v>0</v>
      </c>
      <c r="AL14" s="49">
        <f t="shared" si="2"/>
        <v>0</v>
      </c>
      <c r="AM14" s="49"/>
      <c r="AN14" s="48"/>
      <c r="AO14" s="48"/>
      <c r="AP14" s="48"/>
    </row>
    <row r="15" spans="1:44" ht="19" customHeight="1" x14ac:dyDescent="0.35">
      <c r="A15" s="28"/>
      <c r="B15" s="64" t="s">
        <v>246</v>
      </c>
      <c r="C15" s="64" t="s">
        <v>245</v>
      </c>
      <c r="D15" s="64" t="s">
        <v>66</v>
      </c>
      <c r="E15" s="64" t="s">
        <v>34</v>
      </c>
      <c r="F15" s="64" t="s">
        <v>1</v>
      </c>
      <c r="G15" s="65">
        <v>3100000</v>
      </c>
      <c r="H15" s="66">
        <f>IF(D15="","-", INDEX(asset_counts_canton!$B$2:$G$83,MATCH(Principal!E15,asset_counts_canton!$A$2:$A$83,0),MATCH(Principal!F15,asset_counts_canton!$B$1:$G$1,0)))</f>
        <v>22</v>
      </c>
      <c r="I15" s="67">
        <f>IF(D15="","-", INDEX(average_aalr_tot_canton!$B$2:$G$83,MATCH(E15,average_aalr_tot_canton!$A$2:$A$83,0),MATCH(F15,average_aalr_tot_canton!$B$1:$G$1,0)))</f>
        <v>1.0745454545454501E-2</v>
      </c>
      <c r="J15" s="67">
        <f>IF(D15="","-", INDEX(std_dev_aalr_tot_canton!$B$2:$G$83,MATCH(E15,std_dev_aalr_tot_canton!$A$2:$A$83,0),MATCH(F15,std_dev_aalr_tot_canton!$B$1:$G$1,0)))</f>
        <v>2.7207714719530002E-4</v>
      </c>
      <c r="K15" s="67">
        <f>IF(D15="","-", INDEX(min_aalr_tot_canton!$B$2:$G$83,MATCH(E15,min_aalr_tot_canton!$A$2:$A$83,0),MATCH(F15,min_aalr_tot_canton!$B$1:$G$1,0)))</f>
        <v>1.01E-2</v>
      </c>
      <c r="L15" s="68" t="s">
        <v>110</v>
      </c>
      <c r="M15" s="22">
        <f t="shared" si="5"/>
        <v>1.1289608839845101E-2</v>
      </c>
      <c r="N15" s="23">
        <f>IF(D15="","-", M15*G15)</f>
        <v>34997.787403519811</v>
      </c>
      <c r="O15" s="64" t="s">
        <v>178</v>
      </c>
      <c r="P15" s="24">
        <f>IF(D15="","-", Principal!G15*VLOOKUP(Principal!O15,Intervenciones!$B$12:$E$23,3,FALSE))</f>
        <v>3410000.0000000005</v>
      </c>
      <c r="Q15" s="22">
        <f>IF(D15="","-", MAX(0.001,N15/G15*(1-VLOOKUP(O15,Intervenciones!$B$12:$E$23,4,FALSE))))</f>
        <v>1E-3</v>
      </c>
      <c r="R15" s="25">
        <f>IF(D15="","-", Q15*G15)</f>
        <v>3100</v>
      </c>
      <c r="S15" s="25">
        <f t="shared" si="8"/>
        <v>31897.787403519811</v>
      </c>
      <c r="T15" s="64">
        <v>50</v>
      </c>
      <c r="U15" s="69">
        <v>0.04</v>
      </c>
      <c r="V15" s="26">
        <f>IF(D15="","-", PV(U15,T15,-(N15-R15)))</f>
        <v>685234.15786567202</v>
      </c>
      <c r="W15" s="9">
        <f>IF(D15="","-", PV(Listas!$K$3,T15,-(N15-R15)*Listas!$L$3)/1000)</f>
        <v>376.75682777733255</v>
      </c>
      <c r="X15" s="24">
        <f>IF(D15="","-", W15*Listas!$M$3)</f>
        <v>15070.273111093302</v>
      </c>
      <c r="Y15" s="27">
        <f t="shared" ref="Y15" si="11">IF(D15="","-", (V15+X15)/P15)</f>
        <v>0.20536786832163204</v>
      </c>
      <c r="AI15" s="48" t="s">
        <v>52</v>
      </c>
      <c r="AJ15" s="49">
        <f t="shared" si="0"/>
        <v>3940000</v>
      </c>
      <c r="AK15" s="49">
        <f t="shared" si="1"/>
        <v>947000</v>
      </c>
      <c r="AL15" s="49">
        <f t="shared" si="2"/>
        <v>953676.87158802047</v>
      </c>
      <c r="AM15" s="49"/>
    </row>
    <row r="16" spans="1:44" ht="19" customHeight="1" x14ac:dyDescent="0.35">
      <c r="A16" s="28"/>
      <c r="B16" s="64">
        <v>7</v>
      </c>
      <c r="C16" s="64" t="s">
        <v>248</v>
      </c>
      <c r="D16" s="64" t="s">
        <v>33</v>
      </c>
      <c r="E16" s="64" t="s">
        <v>89</v>
      </c>
      <c r="F16" s="64" t="s">
        <v>4</v>
      </c>
      <c r="G16" s="65">
        <v>4000000</v>
      </c>
      <c r="H16" s="66">
        <f>IF(D16="","-", INDEX(asset_counts_canton!$B$2:$G$83,MATCH(Principal!E16,asset_counts_canton!$A$2:$A$83,0),MATCH(Principal!F16,asset_counts_canton!$B$1:$G$1,0)))</f>
        <v>4</v>
      </c>
      <c r="I16" s="67">
        <f>IF(D16="","-", INDEX(average_aalr_tot_canton!$B$2:$G$83,MATCH(E16,average_aalr_tot_canton!$A$2:$A$83,0),MATCH(F16,average_aalr_tot_canton!$B$1:$G$1,0)))</f>
        <v>3.5174999999999998E-2</v>
      </c>
      <c r="J16" s="67">
        <f>IF(D16="","-", INDEX(std_dev_aalr_tot_canton!$B$2:$G$83,MATCH(E16,std_dev_aalr_tot_canton!$A$2:$A$83,0),MATCH(F16,std_dev_aalr_tot_canton!$B$1:$G$1,0)))</f>
        <v>2.2320002240143199E-2</v>
      </c>
      <c r="K16" s="67">
        <f>IF(D16="","-", INDEX(min_aalr_tot_canton!$B$2:$G$83,MATCH(E16,min_aalr_tot_canton!$A$2:$A$83,0),MATCH(F16,min_aalr_tot_canton!$B$1:$G$1,0)))</f>
        <v>1.6999999999999999E-3</v>
      </c>
      <c r="L16" s="68" t="s">
        <v>110</v>
      </c>
      <c r="M16" s="22">
        <f t="shared" si="5"/>
        <v>7.9815004480286389E-2</v>
      </c>
      <c r="N16" s="23">
        <f t="shared" ref="N16:N19" si="12">IF(D16="","-", M16*G16)</f>
        <v>319260.01792114554</v>
      </c>
      <c r="O16" s="64" t="s">
        <v>182</v>
      </c>
      <c r="P16" s="24">
        <f>IF(D16="","-", Principal!G16*VLOOKUP(Principal!O16,Intervenciones!$B$12:$E$23,3,FALSE))</f>
        <v>1600000</v>
      </c>
      <c r="Q16" s="22">
        <f>IF(D16="","-", MAX(0.001,N16/G16*(1-VLOOKUP(O16,Intervenciones!$B$12:$E$23,4,FALSE))))</f>
        <v>1.197225067204296E-2</v>
      </c>
      <c r="R16" s="25">
        <f>IF(D16="","-", Q16*G16)</f>
        <v>47889.002688171837</v>
      </c>
      <c r="S16" s="25">
        <f t="shared" si="8"/>
        <v>271371.01523297373</v>
      </c>
      <c r="T16" s="64">
        <v>50</v>
      </c>
      <c r="U16" s="69">
        <v>0.04</v>
      </c>
      <c r="V16" s="26">
        <f t="shared" ref="V16:V19" si="13">IF(D16="","-", PV(U16,T16,-(N16-R16)))</f>
        <v>5829642.2488476411</v>
      </c>
      <c r="W16" s="9">
        <f>IF(D16="","-", PV(Listas!$K$3,T16,-(N16-R16)*Listas!$L$3)/1000)</f>
        <v>3205.2656680070372</v>
      </c>
      <c r="X16" s="24">
        <f>IF(D16="","-", W16*Listas!$M$3)</f>
        <v>128210.62672028149</v>
      </c>
      <c r="Y16" s="27">
        <f t="shared" si="10"/>
        <v>3.7236580472299514</v>
      </c>
      <c r="AI16" s="48" t="s">
        <v>71</v>
      </c>
      <c r="AJ16" s="49">
        <f t="shared" si="0"/>
        <v>3000000</v>
      </c>
      <c r="AK16" s="49">
        <f t="shared" si="1"/>
        <v>1050000</v>
      </c>
      <c r="AL16" s="49">
        <f t="shared" si="2"/>
        <v>1153268.7354294951</v>
      </c>
      <c r="AM16" s="49"/>
    </row>
    <row r="17" spans="1:25" ht="19" customHeight="1" x14ac:dyDescent="0.35">
      <c r="A17" s="28"/>
      <c r="B17" s="64">
        <v>8</v>
      </c>
      <c r="C17" s="64"/>
      <c r="D17" s="64"/>
      <c r="E17" s="64"/>
      <c r="F17" s="64"/>
      <c r="G17" s="65"/>
      <c r="H17" s="66" t="str">
        <f>IF(D17="","-", INDEX(asset_counts_canton!$B$2:$G$83,MATCH(Principal!E17,asset_counts_canton!$A$2:$A$83,0),MATCH(Principal!F17,asset_counts_canton!$B$1:$G$1,0)))</f>
        <v>-</v>
      </c>
      <c r="I17" s="67" t="str">
        <f>IF(D17="","-", INDEX(average_aalr_tot_canton!$B$2:$G$83,MATCH(E17,average_aalr_tot_canton!$A$2:$A$83,0),MATCH(F17,average_aalr_tot_canton!$B$1:$G$1,0)))</f>
        <v>-</v>
      </c>
      <c r="J17" s="67" t="str">
        <f>IF(D17="","-", INDEX(std_dev_aalr_tot_canton!$B$2:$G$83,MATCH(E17,std_dev_aalr_tot_canton!$A$2:$A$83,0),MATCH(F17,std_dev_aalr_tot_canton!$B$1:$G$1,0)))</f>
        <v>-</v>
      </c>
      <c r="K17" s="67" t="str">
        <f>IF(D17="","-", INDEX(min_aalr_tot_canton!$B$2:$G$83,MATCH(E17,min_aalr_tot_canton!$A$2:$A$83,0),MATCH(F17,min_aalr_tot_canton!$B$1:$G$1,0)))</f>
        <v>-</v>
      </c>
      <c r="L17" s="68"/>
      <c r="M17" s="22" t="str">
        <f t="shared" si="5"/>
        <v>-</v>
      </c>
      <c r="N17" s="23" t="str">
        <f t="shared" si="12"/>
        <v>-</v>
      </c>
      <c r="O17" s="64"/>
      <c r="P17" s="24" t="str">
        <f>IF(D17="","-", Principal!G17*VLOOKUP(Principal!O17,Intervenciones!$B$12:$E$23,3,FALSE))</f>
        <v>-</v>
      </c>
      <c r="Q17" s="22" t="str">
        <f>IF(D17="","-", MAX(0.001,N17/G17*(1-VLOOKUP(O17,Intervenciones!$B$12:$E$23,4,FALSE))))</f>
        <v>-</v>
      </c>
      <c r="R17" s="25" t="str">
        <f t="shared" ref="R17:R19" si="14">IF(D17="","-", Q17*G17)</f>
        <v>-</v>
      </c>
      <c r="S17" s="25" t="str">
        <f t="shared" si="8"/>
        <v>-</v>
      </c>
      <c r="T17" s="64"/>
      <c r="U17" s="69"/>
      <c r="V17" s="26" t="str">
        <f t="shared" si="13"/>
        <v>-</v>
      </c>
      <c r="W17" s="9" t="str">
        <f>IF(D17="","-", PV(Listas!$K$3,T17,-(N17-R17)*Listas!$L$3)/1000)</f>
        <v>-</v>
      </c>
      <c r="X17" s="24" t="str">
        <f>IF(D17="","-", W17*Listas!$M$3)</f>
        <v>-</v>
      </c>
      <c r="Y17" s="27" t="str">
        <f t="shared" si="10"/>
        <v>-</v>
      </c>
    </row>
    <row r="18" spans="1:25" ht="19" customHeight="1" x14ac:dyDescent="0.35">
      <c r="B18" s="64">
        <v>9</v>
      </c>
      <c r="C18" s="64"/>
      <c r="D18" s="64"/>
      <c r="E18" s="64"/>
      <c r="F18" s="64"/>
      <c r="G18" s="65"/>
      <c r="H18" s="66" t="str">
        <f>IF(D18="","-", INDEX(asset_counts_canton!$B$2:$G$83,MATCH(Principal!E18,asset_counts_canton!$A$2:$A$83,0),MATCH(Principal!F18,asset_counts_canton!$B$1:$G$1,0)))</f>
        <v>-</v>
      </c>
      <c r="I18" s="67" t="str">
        <f>IF(D18="","-", INDEX(average_aalr_tot_canton!$B$2:$G$83,MATCH(E18,average_aalr_tot_canton!$A$2:$A$83,0),MATCH(F18,average_aalr_tot_canton!$B$1:$G$1,0)))</f>
        <v>-</v>
      </c>
      <c r="J18" s="67" t="str">
        <f>IF(D18="","-", INDEX(std_dev_aalr_tot_canton!$B$2:$G$83,MATCH(E18,std_dev_aalr_tot_canton!$A$2:$A$83,0),MATCH(F18,std_dev_aalr_tot_canton!$B$1:$G$1,0)))</f>
        <v>-</v>
      </c>
      <c r="K18" s="67" t="str">
        <f>IF(D18="","-", INDEX(min_aalr_tot_canton!$B$2:$G$83,MATCH(E18,min_aalr_tot_canton!$A$2:$A$83,0),MATCH(F18,min_aalr_tot_canton!$B$1:$G$1,0)))</f>
        <v>-</v>
      </c>
      <c r="L18" s="68"/>
      <c r="M18" s="22" t="str">
        <f t="shared" si="5"/>
        <v>-</v>
      </c>
      <c r="N18" s="23" t="str">
        <f t="shared" si="12"/>
        <v>-</v>
      </c>
      <c r="O18" s="64"/>
      <c r="P18" s="24" t="str">
        <f>IF(D18="","-", Principal!G18*VLOOKUP(Principal!O18,Intervenciones!$B$12:$E$23,3,FALSE))</f>
        <v>-</v>
      </c>
      <c r="Q18" s="22" t="str">
        <f>IF(D18="","-", MAX(0.001,N18/G18*(1-VLOOKUP(O18,Intervenciones!$B$12:$E$23,4,FALSE))))</f>
        <v>-</v>
      </c>
      <c r="R18" s="25" t="str">
        <f t="shared" si="14"/>
        <v>-</v>
      </c>
      <c r="S18" s="25" t="str">
        <f t="shared" si="8"/>
        <v>-</v>
      </c>
      <c r="T18" s="64"/>
      <c r="U18" s="69"/>
      <c r="V18" s="26" t="str">
        <f t="shared" si="13"/>
        <v>-</v>
      </c>
      <c r="W18" s="9" t="str">
        <f>IF(D18="","-", PV(Listas!$K$3,T18,-(N18-R18)*Listas!$L$3)/1000)</f>
        <v>-</v>
      </c>
      <c r="X18" s="24" t="str">
        <f>IF(D18="","-", W18*Listas!$M$3)</f>
        <v>-</v>
      </c>
      <c r="Y18" s="27" t="str">
        <f t="shared" si="10"/>
        <v>-</v>
      </c>
    </row>
    <row r="19" spans="1:25" ht="19" customHeight="1" x14ac:dyDescent="0.35">
      <c r="A19" s="13"/>
      <c r="B19" s="64">
        <v>10</v>
      </c>
      <c r="C19" s="64"/>
      <c r="D19" s="64"/>
      <c r="E19" s="64"/>
      <c r="F19" s="64"/>
      <c r="G19" s="65"/>
      <c r="H19" s="66" t="str">
        <f>IF(D19="","-", INDEX(asset_counts_canton!$B$2:$G$83,MATCH(Principal!E19,asset_counts_canton!$A$2:$A$83,0),MATCH(Principal!F19,asset_counts_canton!$B$1:$G$1,0)))</f>
        <v>-</v>
      </c>
      <c r="I19" s="67" t="str">
        <f>IF(D19="","-", INDEX(average_aalr_tot_canton!$B$2:$G$83,MATCH(E19,average_aalr_tot_canton!$A$2:$A$83,0),MATCH(F19,average_aalr_tot_canton!$B$1:$G$1,0)))</f>
        <v>-</v>
      </c>
      <c r="J19" s="67" t="str">
        <f>IF(D19="","-", INDEX(std_dev_aalr_tot_canton!$B$2:$G$83,MATCH(E19,std_dev_aalr_tot_canton!$A$2:$A$83,0),MATCH(F19,std_dev_aalr_tot_canton!$B$1:$G$1,0)))</f>
        <v>-</v>
      </c>
      <c r="K19" s="67" t="str">
        <f>IF(D19="","-", INDEX(min_aalr_tot_canton!$B$2:$G$83,MATCH(E19,min_aalr_tot_canton!$A$2:$A$83,0),MATCH(F19,min_aalr_tot_canton!$B$1:$G$1,0)))</f>
        <v>-</v>
      </c>
      <c r="L19" s="68"/>
      <c r="M19" s="22" t="str">
        <f t="shared" si="5"/>
        <v>-</v>
      </c>
      <c r="N19" s="23" t="str">
        <f t="shared" si="12"/>
        <v>-</v>
      </c>
      <c r="O19" s="64"/>
      <c r="P19" s="24" t="str">
        <f>IF(D19="","-", Principal!G19*VLOOKUP(Principal!O19,Intervenciones!$B$12:$E$23,3,FALSE))</f>
        <v>-</v>
      </c>
      <c r="Q19" s="22" t="str">
        <f>IF(D19="","-", MAX(0.001,N19/G19*(1-VLOOKUP(O19,Intervenciones!$B$12:$E$23,4,FALSE))))</f>
        <v>-</v>
      </c>
      <c r="R19" s="25" t="str">
        <f t="shared" si="14"/>
        <v>-</v>
      </c>
      <c r="S19" s="25" t="str">
        <f t="shared" si="8"/>
        <v>-</v>
      </c>
      <c r="T19" s="64"/>
      <c r="U19" s="69"/>
      <c r="V19" s="26" t="str">
        <f t="shared" si="13"/>
        <v>-</v>
      </c>
      <c r="W19" s="9" t="str">
        <f>IF(D19="","-", PV(Listas!$K$3,T19,-(N19-R19)*Listas!$L$3)/1000)</f>
        <v>-</v>
      </c>
      <c r="X19" s="24" t="str">
        <f>IF(D19="","-", W19*Listas!$M$3)</f>
        <v>-</v>
      </c>
      <c r="Y19" s="27" t="str">
        <f t="shared" si="10"/>
        <v>-</v>
      </c>
    </row>
    <row r="20" spans="1:25" x14ac:dyDescent="0.35">
      <c r="A20" s="28"/>
      <c r="B20" s="28"/>
      <c r="C20" s="28"/>
      <c r="G20" s="29"/>
    </row>
    <row r="21" spans="1:25" x14ac:dyDescent="0.35">
      <c r="A21" s="28"/>
      <c r="B21" s="28"/>
      <c r="C21" s="28"/>
      <c r="G21" s="29"/>
    </row>
    <row r="22" spans="1:25" ht="26" x14ac:dyDescent="0.6">
      <c r="A22" s="35" t="s">
        <v>170</v>
      </c>
      <c r="B22" s="35"/>
      <c r="C22" s="35"/>
    </row>
    <row r="23" spans="1:25" x14ac:dyDescent="0.35">
      <c r="A23" s="28"/>
      <c r="B23" s="28"/>
      <c r="C23" s="28"/>
    </row>
    <row r="24" spans="1:25" ht="19.5" customHeight="1" x14ac:dyDescent="0.35">
      <c r="A24" s="30"/>
      <c r="B24" s="81" t="s">
        <v>112</v>
      </c>
      <c r="C24" s="81"/>
      <c r="D24" s="78">
        <f>SUM(G10:G19)</f>
        <v>74040000</v>
      </c>
      <c r="E24" s="78"/>
    </row>
    <row r="25" spans="1:25" ht="19.5" customHeight="1" x14ac:dyDescent="0.35">
      <c r="A25" s="28"/>
      <c r="B25" s="81" t="s">
        <v>113</v>
      </c>
      <c r="C25" s="81"/>
      <c r="D25" s="78">
        <f>SUM(P10:P19)</f>
        <v>14507000</v>
      </c>
      <c r="E25" s="78"/>
    </row>
    <row r="26" spans="1:25" ht="19.5" customHeight="1" x14ac:dyDescent="0.35">
      <c r="A26" s="30"/>
      <c r="B26" s="81" t="s">
        <v>114</v>
      </c>
      <c r="C26" s="81"/>
      <c r="D26" s="78">
        <f>SUM(N10:N19)</f>
        <v>1007151.8974819474</v>
      </c>
      <c r="E26" s="78"/>
    </row>
    <row r="27" spans="1:25" ht="19.5" customHeight="1" x14ac:dyDescent="0.35">
      <c r="A27" s="28"/>
      <c r="B27" s="81" t="s">
        <v>118</v>
      </c>
      <c r="C27" s="81"/>
      <c r="D27" s="78">
        <f>D26-SUM(R10:R19)</f>
        <v>572485.77325824369</v>
      </c>
      <c r="E27" s="78"/>
    </row>
    <row r="28" spans="1:25" ht="19.5" customHeight="1" x14ac:dyDescent="0.35">
      <c r="A28" s="28"/>
      <c r="B28" s="81" t="s">
        <v>121</v>
      </c>
      <c r="C28" s="81"/>
      <c r="D28" s="78">
        <f>SUM(X10:X19)</f>
        <v>234917.35548926165</v>
      </c>
      <c r="E28" s="78"/>
    </row>
    <row r="29" spans="1:25" ht="19.5" customHeight="1" x14ac:dyDescent="0.35">
      <c r="A29" s="28"/>
      <c r="B29" s="81" t="s">
        <v>115</v>
      </c>
      <c r="C29" s="81"/>
      <c r="D29" s="78">
        <f>SUM(V10:V19)+D28</f>
        <v>10244823.71887473</v>
      </c>
      <c r="E29" s="78"/>
    </row>
    <row r="30" spans="1:25" ht="19.5" customHeight="1" x14ac:dyDescent="0.35">
      <c r="A30" s="31"/>
      <c r="B30" s="81" t="s">
        <v>117</v>
      </c>
      <c r="C30" s="81"/>
      <c r="D30" s="79">
        <f>D29/D25</f>
        <v>0.70619864333595717</v>
      </c>
      <c r="E30" s="79"/>
    </row>
    <row r="32" spans="1:25" ht="17.5" x14ac:dyDescent="0.35">
      <c r="A32" s="13"/>
      <c r="B32" s="13"/>
      <c r="C32" s="13"/>
    </row>
    <row r="33" spans="1:3" x14ac:dyDescent="0.35">
      <c r="A33" s="28"/>
      <c r="B33" s="28"/>
      <c r="C33" s="28"/>
    </row>
    <row r="34" spans="1:3" x14ac:dyDescent="0.35">
      <c r="A34" s="30"/>
      <c r="B34" s="30"/>
      <c r="C34" s="30"/>
    </row>
    <row r="35" spans="1:3" x14ac:dyDescent="0.35">
      <c r="A35" s="28"/>
      <c r="B35" s="28"/>
      <c r="C35" s="28"/>
    </row>
    <row r="36" spans="1:3" x14ac:dyDescent="0.35">
      <c r="A36" s="28"/>
      <c r="B36" s="28"/>
      <c r="C36" s="28"/>
    </row>
    <row r="37" spans="1:3" x14ac:dyDescent="0.35">
      <c r="A37" s="28"/>
      <c r="B37" s="28"/>
      <c r="C37" s="28"/>
    </row>
    <row r="38" spans="1:3" x14ac:dyDescent="0.35">
      <c r="A38" s="32"/>
      <c r="B38" s="32"/>
      <c r="C38" s="32"/>
    </row>
    <row r="39" spans="1:3" x14ac:dyDescent="0.35">
      <c r="A39" s="28"/>
      <c r="B39" s="28"/>
      <c r="C39" s="28"/>
    </row>
    <row r="40" spans="1:3" x14ac:dyDescent="0.35">
      <c r="A40" s="32"/>
      <c r="B40" s="32"/>
      <c r="C40" s="32"/>
    </row>
    <row r="41" spans="1:3" x14ac:dyDescent="0.35">
      <c r="A41" s="28"/>
      <c r="B41" s="28"/>
      <c r="C41" s="28"/>
    </row>
    <row r="42" spans="1:3" x14ac:dyDescent="0.35">
      <c r="A42" s="32"/>
      <c r="B42" s="32"/>
      <c r="C42" s="32"/>
    </row>
    <row r="44" spans="1:3" ht="17.5" x14ac:dyDescent="0.35">
      <c r="A44" s="13"/>
      <c r="B44" s="13"/>
      <c r="C44" s="13"/>
    </row>
    <row r="45" spans="1:3" x14ac:dyDescent="0.35">
      <c r="A45" s="28"/>
      <c r="B45" s="28"/>
      <c r="C45" s="28"/>
    </row>
    <row r="46" spans="1:3" x14ac:dyDescent="0.35">
      <c r="A46" s="30"/>
      <c r="B46" s="30"/>
      <c r="C46" s="30"/>
    </row>
    <row r="47" spans="1:3" x14ac:dyDescent="0.35">
      <c r="A47" s="28"/>
      <c r="B47" s="28"/>
      <c r="C47" s="28"/>
    </row>
    <row r="48" spans="1:3" x14ac:dyDescent="0.35">
      <c r="A48" s="28"/>
      <c r="B48" s="28"/>
      <c r="C48" s="28"/>
    </row>
    <row r="49" spans="1:4" x14ac:dyDescent="0.35">
      <c r="A49" s="28"/>
      <c r="B49" s="28"/>
      <c r="C49" s="28"/>
    </row>
    <row r="50" spans="1:4" x14ac:dyDescent="0.35">
      <c r="A50" s="31"/>
      <c r="B50" s="31"/>
      <c r="C50" s="31"/>
    </row>
    <row r="51" spans="1:4" x14ac:dyDescent="0.35">
      <c r="A51" s="33" t="s">
        <v>155</v>
      </c>
    </row>
    <row r="52" spans="1:4" x14ac:dyDescent="0.35">
      <c r="A52" s="4" t="s">
        <v>156</v>
      </c>
      <c r="D52" s="10" t="s">
        <v>129</v>
      </c>
    </row>
    <row r="53" spans="1:4" x14ac:dyDescent="0.35">
      <c r="A53" s="4" t="s">
        <v>157</v>
      </c>
      <c r="D53" s="10" t="s">
        <v>128</v>
      </c>
    </row>
    <row r="54" spans="1:4" x14ac:dyDescent="0.35">
      <c r="A54" s="31"/>
      <c r="B54" s="31"/>
      <c r="C54" s="31"/>
    </row>
    <row r="55" spans="1:4" x14ac:dyDescent="0.35">
      <c r="A55" s="28"/>
      <c r="B55" s="28"/>
      <c r="C55" s="28"/>
    </row>
    <row r="56" spans="1:4" x14ac:dyDescent="0.35">
      <c r="A56" s="30"/>
      <c r="B56" s="30"/>
      <c r="C56" s="30"/>
    </row>
    <row r="57" spans="1:4" x14ac:dyDescent="0.35">
      <c r="A57" s="28"/>
      <c r="B57" s="28"/>
      <c r="C57" s="28"/>
    </row>
    <row r="58" spans="1:4" x14ac:dyDescent="0.35">
      <c r="A58" s="30"/>
      <c r="B58" s="30"/>
      <c r="C58" s="30"/>
    </row>
    <row r="60" spans="1:4" ht="17.5" x14ac:dyDescent="0.35">
      <c r="A60" s="13"/>
      <c r="B60" s="13"/>
      <c r="C60" s="13"/>
    </row>
    <row r="61" spans="1:4" x14ac:dyDescent="0.35">
      <c r="A61" s="28"/>
      <c r="B61" s="28"/>
      <c r="C61" s="28"/>
    </row>
    <row r="62" spans="1:4" x14ac:dyDescent="0.35">
      <c r="A62" s="30"/>
      <c r="B62" s="30"/>
      <c r="C62" s="30"/>
    </row>
    <row r="63" spans="1:4" x14ac:dyDescent="0.35">
      <c r="A63" s="28"/>
      <c r="B63" s="28"/>
      <c r="C63" s="28"/>
    </row>
    <row r="64" spans="1:4" x14ac:dyDescent="0.35">
      <c r="A64" s="30"/>
      <c r="B64" s="30"/>
      <c r="C64" s="30"/>
    </row>
    <row r="65" spans="1:3" x14ac:dyDescent="0.35">
      <c r="A65" s="28"/>
      <c r="B65" s="28"/>
      <c r="C65" s="28"/>
    </row>
    <row r="66" spans="1:3" x14ac:dyDescent="0.35">
      <c r="A66" s="28"/>
      <c r="B66" s="28"/>
      <c r="C66" s="28"/>
    </row>
    <row r="67" spans="1:3" x14ac:dyDescent="0.35">
      <c r="A67" s="28"/>
      <c r="B67" s="28"/>
      <c r="C67" s="28"/>
    </row>
    <row r="68" spans="1:3" x14ac:dyDescent="0.35">
      <c r="A68" s="32"/>
      <c r="B68" s="32"/>
      <c r="C68" s="32"/>
    </row>
    <row r="69" spans="1:3" x14ac:dyDescent="0.35">
      <c r="A69" s="28"/>
      <c r="B69" s="28"/>
      <c r="C69" s="28"/>
    </row>
    <row r="70" spans="1:3" x14ac:dyDescent="0.35">
      <c r="A70" s="32"/>
      <c r="B70" s="32"/>
      <c r="C70" s="32"/>
    </row>
    <row r="71" spans="1:3" x14ac:dyDescent="0.35">
      <c r="A71" s="28"/>
      <c r="B71" s="28"/>
      <c r="C71" s="28"/>
    </row>
    <row r="72" spans="1:3" x14ac:dyDescent="0.35">
      <c r="A72" s="30"/>
      <c r="B72" s="30"/>
      <c r="C72" s="30"/>
    </row>
    <row r="74" spans="1:3" ht="23.5" x14ac:dyDescent="0.35">
      <c r="A74" s="12"/>
      <c r="B74" s="12"/>
      <c r="C74" s="12"/>
    </row>
    <row r="75" spans="1:3" x14ac:dyDescent="0.35">
      <c r="A75" s="28"/>
      <c r="B75" s="28"/>
      <c r="C75" s="28"/>
    </row>
    <row r="76" spans="1:3" x14ac:dyDescent="0.35">
      <c r="A76" s="32"/>
      <c r="B76" s="32"/>
      <c r="C76" s="32"/>
    </row>
    <row r="77" spans="1:3" x14ac:dyDescent="0.35">
      <c r="A77" s="28"/>
      <c r="B77" s="28"/>
      <c r="C77" s="28"/>
    </row>
    <row r="78" spans="1:3" x14ac:dyDescent="0.35">
      <c r="A78" s="32"/>
      <c r="B78" s="32"/>
      <c r="C78" s="32"/>
    </row>
    <row r="79" spans="1:3" x14ac:dyDescent="0.35">
      <c r="A79" s="28"/>
      <c r="B79" s="28"/>
      <c r="C79" s="28"/>
    </row>
    <row r="80" spans="1:3" x14ac:dyDescent="0.35">
      <c r="A80" s="32"/>
      <c r="B80" s="32"/>
      <c r="C80" s="32"/>
    </row>
    <row r="81" spans="1:3" x14ac:dyDescent="0.35">
      <c r="A81" s="28"/>
      <c r="B81" s="28"/>
      <c r="C81" s="28"/>
    </row>
    <row r="82" spans="1:3" x14ac:dyDescent="0.35">
      <c r="A82" s="32"/>
      <c r="B82" s="32"/>
      <c r="C82" s="32"/>
    </row>
    <row r="83" spans="1:3" x14ac:dyDescent="0.35">
      <c r="A83" s="28"/>
      <c r="B83" s="28"/>
      <c r="C83" s="28"/>
    </row>
    <row r="84" spans="1:3" x14ac:dyDescent="0.35">
      <c r="A84" s="28"/>
      <c r="B84" s="28"/>
      <c r="C84" s="28"/>
    </row>
    <row r="85" spans="1:3" x14ac:dyDescent="0.35">
      <c r="A85" s="28"/>
      <c r="B85" s="28"/>
      <c r="C85" s="28"/>
    </row>
    <row r="86" spans="1:3" x14ac:dyDescent="0.35">
      <c r="A86" s="32"/>
      <c r="B86" s="32"/>
      <c r="C86" s="32"/>
    </row>
    <row r="87" spans="1:3" x14ac:dyDescent="0.35">
      <c r="A87" s="28"/>
      <c r="B87" s="28"/>
      <c r="C87" s="28"/>
    </row>
    <row r="88" spans="1:3" x14ac:dyDescent="0.35">
      <c r="A88" s="32"/>
      <c r="B88" s="32"/>
      <c r="C88" s="32"/>
    </row>
    <row r="89" spans="1:3" x14ac:dyDescent="0.35">
      <c r="A89" s="28"/>
      <c r="B89" s="28"/>
      <c r="C89" s="28"/>
    </row>
    <row r="90" spans="1:3" x14ac:dyDescent="0.35">
      <c r="A90" s="32"/>
      <c r="B90" s="32"/>
      <c r="C90" s="32"/>
    </row>
  </sheetData>
  <sheetProtection sheet="1" objects="1" scenarios="1"/>
  <mergeCells count="15">
    <mergeCell ref="D28:E28"/>
    <mergeCell ref="D29:E29"/>
    <mergeCell ref="D30:E30"/>
    <mergeCell ref="A2:W2"/>
    <mergeCell ref="D24:E24"/>
    <mergeCell ref="D25:E25"/>
    <mergeCell ref="D26:E26"/>
    <mergeCell ref="D27:E27"/>
    <mergeCell ref="B30:C30"/>
    <mergeCell ref="B28:C28"/>
    <mergeCell ref="B24:C24"/>
    <mergeCell ref="B25:C25"/>
    <mergeCell ref="B26:C26"/>
    <mergeCell ref="B27:C27"/>
    <mergeCell ref="B29:C29"/>
  </mergeCells>
  <conditionalFormatting sqref="D30">
    <cfRule type="iconSet" priority="3">
      <iconSet iconSet="3Symbols2">
        <cfvo type="percent" val="0"/>
        <cfvo type="num" val="0.3"/>
        <cfvo type="num" val="1"/>
      </iconSet>
    </cfRule>
  </conditionalFormatting>
  <conditionalFormatting sqref="Y10:Y19">
    <cfRule type="colorScale" priority="5">
      <colorScale>
        <cfvo type="min"/>
        <cfvo type="num" val="0.7"/>
        <cfvo type="max"/>
        <color rgb="FFF8696B"/>
        <color rgb="FFFFFF00"/>
        <color rgb="FF00B050"/>
      </colorScale>
    </cfRule>
  </conditionalFormatting>
  <dataValidations count="4">
    <dataValidation type="list" allowBlank="1" showInputMessage="1" showErrorMessage="1" sqref="D10:D19" xr:uid="{7C481C6D-5029-4F79-B093-CF4445D5C670}">
      <formula1>Provincias</formula1>
    </dataValidation>
    <dataValidation type="list" allowBlank="1" showInputMessage="1" showErrorMessage="1" sqref="L10:L19" xr:uid="{5084701A-DFF8-4400-8088-1ACB9B56E908}">
      <formula1>escenarios</formula1>
    </dataValidation>
    <dataValidation type="list" allowBlank="1" showInputMessage="1" showErrorMessage="1" sqref="E10:E19" xr:uid="{F9CF069F-8289-43A5-B213-D6554D588C69}">
      <formula1>INDIRECT(D10)</formula1>
    </dataValidation>
    <dataValidation type="list" allowBlank="1" showInputMessage="1" showErrorMessage="1" sqref="O10:O19" xr:uid="{A3429E9F-D89D-4C18-B7BB-4FD825FB6039}">
      <formula1>INDIRECT("Interv_" &amp; SUBSTITUTE(F10," ","_"))</formula1>
    </dataValidation>
  </dataValidations>
  <hyperlinks>
    <hyperlink ref="D53" r:id="rId1" location=":~:text=Estos%20precios%20ajustados%20son%20los,aportes%20significativos%20para%20la%20sociedad" xr:uid="{BB862E74-94E2-4895-8B15-23EC70D400C9}"/>
    <hyperlink ref="D52" r:id="rId2" display="GRAF, 2023" xr:uid="{340A9224-3F8F-4805-A127-8FB77B8BCC39}"/>
  </hyperlinks>
  <pageMargins left="0.7" right="0.7" top="0.75" bottom="0.75" header="0.3" footer="0.3"/>
  <drawing r:id="rId3"/>
  <legacyDrawing r:id="rId4"/>
  <extLst>
    <ext xmlns:x14="http://schemas.microsoft.com/office/spreadsheetml/2009/9/main" uri="{78C0D931-6437-407d-A8EE-F0AAD7539E65}">
      <x14:conditionalFormattings>
        <x14:conditionalFormatting xmlns:xm="http://schemas.microsoft.com/office/excel/2006/main">
          <x14:cfRule type="iconSet" priority="1" id="{C68E15BD-0AF4-4002-BD8E-221838A991C0}">
            <x14:iconSet custom="1">
              <x14:cfvo type="percent">
                <xm:f>0</xm:f>
              </x14:cfvo>
              <x14:cfvo type="num">
                <xm:f>10</xm:f>
              </x14:cfvo>
              <x14:cfvo type="num">
                <xm:f>100</xm:f>
              </x14:cfvo>
              <x14:cfIcon iconSet="3Symbols2" iconId="1"/>
              <x14:cfIcon iconSet="3TrafficLights1" iconId="1"/>
              <x14:cfIcon iconSet="3TrafficLights1" iconId="2"/>
            </x14:iconSet>
          </x14:cfRule>
          <x14:cfRule type="iconSet" priority="2" id="{A849492E-51E4-44EF-BAA4-5B749496968C}">
            <x14:iconSet custom="1">
              <x14:cfvo type="percent">
                <xm:f>0</xm:f>
              </x14:cfvo>
              <x14:cfvo type="percent">
                <xm:f>10</xm:f>
              </x14:cfvo>
              <x14:cfvo type="percent">
                <xm:f>100</xm:f>
              </x14:cfvo>
              <x14:cfIcon iconSet="3Symbols2" iconId="1"/>
              <x14:cfIcon iconSet="3TrafficLights1" iconId="1"/>
              <x14:cfIcon iconSet="3TrafficLights1" iconId="2"/>
            </x14:iconSet>
          </x14:cfRule>
          <xm:sqref>H10:H19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A2C4DE89-440E-4E2A-BD78-B327667D96F5}">
          <x14:formula1>
            <xm:f>Listas!$A$3:$A$5</xm:f>
          </x14:formula1>
          <xm:sqref>F15:F19</xm:sqref>
        </x14:dataValidation>
        <x14:dataValidation type="list" allowBlank="1" showInputMessage="1" showErrorMessage="1" xr:uid="{AF980F41-C7AF-4519-AC8C-53C83A8FE372}">
          <x14:formula1>
            <xm:f>Listas!$A$3:$A$6</xm:f>
          </x14:formula1>
          <xm:sqref>F10:F14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09CBA-9272-4268-846F-8E003ED74900}">
  <sheetPr>
    <tabColor rgb="FFFFC000"/>
  </sheetPr>
  <dimension ref="A1:AG78"/>
  <sheetViews>
    <sheetView zoomScale="115" zoomScaleNormal="115" workbookViewId="0">
      <selection activeCell="J9" sqref="J9"/>
    </sheetView>
  </sheetViews>
  <sheetFormatPr defaultRowHeight="14.5" x14ac:dyDescent="0.35"/>
  <cols>
    <col min="2" max="2" width="10.08984375" bestFit="1" customWidth="1"/>
    <col min="3" max="3" width="22.90625" bestFit="1" customWidth="1"/>
    <col min="4" max="4" width="16.26953125" bestFit="1" customWidth="1"/>
    <col min="5" max="5" width="13" bestFit="1" customWidth="1"/>
    <col min="7" max="7" width="17.7265625" bestFit="1" customWidth="1"/>
    <col min="9" max="9" width="11.1796875" customWidth="1"/>
    <col min="10" max="10" width="16.36328125" bestFit="1" customWidth="1"/>
    <col min="11" max="11" width="7.7265625" customWidth="1"/>
    <col min="12" max="12" width="12.81640625" customWidth="1"/>
    <col min="15" max="16" width="10.08984375" bestFit="1" customWidth="1"/>
    <col min="17" max="17" width="25.36328125" bestFit="1" customWidth="1"/>
    <col min="19" max="19" width="14.36328125" bestFit="1" customWidth="1"/>
    <col min="21" max="31" width="8.7265625" style="73"/>
    <col min="32" max="32" width="12.54296875" style="73" bestFit="1" customWidth="1"/>
    <col min="33" max="33" width="8.7265625" style="73"/>
  </cols>
  <sheetData>
    <row r="1" spans="1:33" s="4" customFormat="1" x14ac:dyDescent="0.35">
      <c r="U1" s="59"/>
      <c r="V1" s="59"/>
      <c r="W1" s="59"/>
      <c r="X1" s="59"/>
      <c r="Y1" s="59"/>
      <c r="Z1" s="59"/>
      <c r="AA1" s="59"/>
      <c r="AB1" s="59"/>
      <c r="AC1" s="59"/>
      <c r="AD1" s="59"/>
      <c r="AE1" s="59"/>
      <c r="AF1" s="59"/>
      <c r="AG1" s="59"/>
    </row>
    <row r="2" spans="1:33" s="4" customFormat="1" ht="65.5" customHeight="1" x14ac:dyDescent="0.35">
      <c r="A2" s="80" t="s">
        <v>234</v>
      </c>
      <c r="B2" s="80"/>
      <c r="C2" s="80"/>
      <c r="D2" s="80"/>
      <c r="E2" s="80"/>
      <c r="F2" s="80"/>
      <c r="G2" s="80"/>
      <c r="H2" s="80"/>
      <c r="I2" s="80"/>
      <c r="J2" s="38"/>
      <c r="K2" s="38"/>
      <c r="L2" s="38"/>
      <c r="M2" s="38"/>
      <c r="N2" s="38"/>
      <c r="O2" s="38"/>
      <c r="P2" s="38"/>
      <c r="Q2" s="38"/>
      <c r="R2" s="38"/>
      <c r="S2" s="38"/>
      <c r="T2" s="38"/>
      <c r="U2" s="72"/>
      <c r="V2" s="72"/>
      <c r="W2" s="72"/>
      <c r="X2" s="59"/>
      <c r="Y2" s="59"/>
      <c r="Z2" s="59"/>
      <c r="AA2" s="59"/>
      <c r="AB2" s="59"/>
      <c r="AC2" s="59"/>
      <c r="AD2" s="59"/>
      <c r="AE2" s="59"/>
      <c r="AF2" s="59"/>
      <c r="AG2" s="59"/>
    </row>
    <row r="3" spans="1:33" s="4" customFormat="1" x14ac:dyDescent="0.35">
      <c r="U3" s="59"/>
      <c r="V3" s="59"/>
      <c r="W3" s="59"/>
      <c r="X3" s="59"/>
      <c r="Y3" s="59"/>
      <c r="Z3" s="59"/>
      <c r="AA3" s="59"/>
      <c r="AB3" s="59"/>
      <c r="AC3" s="59"/>
      <c r="AD3" s="59"/>
      <c r="AE3" s="59"/>
      <c r="AF3" s="59"/>
      <c r="AG3" s="59"/>
    </row>
    <row r="4" spans="1:33" s="4" customFormat="1" x14ac:dyDescent="0.35">
      <c r="U4" s="59"/>
      <c r="V4" s="59"/>
      <c r="W4" s="59"/>
      <c r="X4" s="59"/>
      <c r="Y4" s="59"/>
      <c r="Z4" s="59"/>
      <c r="AA4" s="59"/>
      <c r="AB4" s="59"/>
      <c r="AC4" s="59"/>
      <c r="AD4" s="59"/>
      <c r="AE4" s="59"/>
      <c r="AF4" s="59"/>
      <c r="AG4" s="59"/>
    </row>
    <row r="6" spans="1:33" ht="28.5" x14ac:dyDescent="0.65">
      <c r="A6" s="36" t="s">
        <v>166</v>
      </c>
    </row>
    <row r="8" spans="1:33" x14ac:dyDescent="0.35">
      <c r="B8" s="11"/>
      <c r="C8" t="s">
        <v>169</v>
      </c>
    </row>
    <row r="9" spans="1:33" x14ac:dyDescent="0.35">
      <c r="U9" s="73" t="s">
        <v>151</v>
      </c>
      <c r="V9" s="59" t="s">
        <v>1</v>
      </c>
      <c r="W9" s="59" t="s">
        <v>3</v>
      </c>
      <c r="X9" s="59" t="s">
        <v>4</v>
      </c>
      <c r="Y9" s="59" t="s">
        <v>5</v>
      </c>
      <c r="AB9" s="59" t="s">
        <v>94</v>
      </c>
      <c r="AC9" s="73" t="s">
        <v>69</v>
      </c>
      <c r="AD9" s="73" t="s">
        <v>132</v>
      </c>
      <c r="AE9" s="73" t="s">
        <v>130</v>
      </c>
      <c r="AF9" s="73" t="s">
        <v>146</v>
      </c>
    </row>
    <row r="10" spans="1:33" x14ac:dyDescent="0.35">
      <c r="A10" s="20" t="s">
        <v>154</v>
      </c>
      <c r="B10" s="20" t="s">
        <v>69</v>
      </c>
      <c r="C10" s="20" t="s">
        <v>132</v>
      </c>
      <c r="D10" s="20" t="s">
        <v>147</v>
      </c>
      <c r="E10" s="20" t="s">
        <v>149</v>
      </c>
      <c r="F10" s="20" t="s">
        <v>148</v>
      </c>
      <c r="G10" s="20" t="s">
        <v>150</v>
      </c>
      <c r="U10" s="73" t="s">
        <v>151</v>
      </c>
      <c r="V10" s="73" t="s">
        <v>133</v>
      </c>
      <c r="W10" s="73" t="s">
        <v>125</v>
      </c>
      <c r="X10" s="73" t="s">
        <v>135</v>
      </c>
      <c r="Y10" s="73" t="s">
        <v>138</v>
      </c>
      <c r="AB10" s="59" t="s">
        <v>1</v>
      </c>
      <c r="AC10" s="73" t="s">
        <v>3</v>
      </c>
      <c r="AD10" s="73" t="s">
        <v>125</v>
      </c>
      <c r="AE10" s="73" t="s">
        <v>131</v>
      </c>
      <c r="AF10" s="74">
        <v>600</v>
      </c>
    </row>
    <row r="11" spans="1:33" x14ac:dyDescent="0.35">
      <c r="A11" s="70">
        <v>1</v>
      </c>
      <c r="B11" s="71" t="s">
        <v>1</v>
      </c>
      <c r="C11" s="71" t="s">
        <v>134</v>
      </c>
      <c r="D11" s="2" t="str">
        <f t="shared" ref="D11:D20" si="0">IF(B11="-","-",VLOOKUP(C11,$AD$10:$AF$25,2,FALSE))</f>
        <v>m2</v>
      </c>
      <c r="E11" s="3">
        <f t="shared" ref="E11:E20" si="1">IF(B11="-","-",VLOOKUP(C11,$AD$10:$AF$25,3,FALSE))</f>
        <v>1150</v>
      </c>
      <c r="F11" s="70">
        <v>4000</v>
      </c>
      <c r="G11" s="3">
        <f>IF(F11="-","-",E11*F11)</f>
        <v>4600000</v>
      </c>
      <c r="V11" s="73" t="s">
        <v>134</v>
      </c>
      <c r="W11" s="73" t="s">
        <v>126</v>
      </c>
      <c r="X11" s="73" t="s">
        <v>136</v>
      </c>
      <c r="Y11" s="73" t="s">
        <v>139</v>
      </c>
      <c r="AB11" s="59" t="s">
        <v>3</v>
      </c>
      <c r="AC11" s="73" t="s">
        <v>3</v>
      </c>
      <c r="AD11" s="73" t="s">
        <v>126</v>
      </c>
      <c r="AE11" s="73" t="s">
        <v>131</v>
      </c>
      <c r="AF11" s="74">
        <v>850</v>
      </c>
    </row>
    <row r="12" spans="1:33" x14ac:dyDescent="0.35">
      <c r="A12" s="70">
        <v>2</v>
      </c>
      <c r="B12" s="71" t="s">
        <v>1</v>
      </c>
      <c r="C12" s="71" t="s">
        <v>133</v>
      </c>
      <c r="D12" s="2" t="str">
        <f t="shared" si="0"/>
        <v>m2</v>
      </c>
      <c r="E12" s="3">
        <f t="shared" si="1"/>
        <v>900</v>
      </c>
      <c r="F12" s="70">
        <v>1600</v>
      </c>
      <c r="G12" s="3">
        <f t="shared" ref="G12:G20" si="2">IF(F12="-","-",E12*F12)</f>
        <v>1440000</v>
      </c>
      <c r="W12" s="73" t="s">
        <v>127</v>
      </c>
      <c r="X12" s="73" t="s">
        <v>137</v>
      </c>
      <c r="Y12" s="73" t="s">
        <v>140</v>
      </c>
      <c r="AB12" s="59" t="s">
        <v>4</v>
      </c>
      <c r="AC12" s="73" t="s">
        <v>3</v>
      </c>
      <c r="AD12" s="73" t="s">
        <v>127</v>
      </c>
      <c r="AE12" s="73" t="s">
        <v>131</v>
      </c>
      <c r="AF12" s="74">
        <v>1050</v>
      </c>
    </row>
    <row r="13" spans="1:33" x14ac:dyDescent="0.35">
      <c r="A13" s="70">
        <v>3</v>
      </c>
      <c r="B13" s="71" t="s">
        <v>5</v>
      </c>
      <c r="C13" s="71" t="s">
        <v>138</v>
      </c>
      <c r="D13" s="2" t="str">
        <f t="shared" si="0"/>
        <v>km</v>
      </c>
      <c r="E13" s="3">
        <f t="shared" si="1"/>
        <v>1200000</v>
      </c>
      <c r="F13" s="70">
        <v>8</v>
      </c>
      <c r="G13" s="3">
        <f t="shared" si="2"/>
        <v>9600000</v>
      </c>
      <c r="Y13" s="73" t="s">
        <v>141</v>
      </c>
      <c r="AB13" s="59" t="s">
        <v>5</v>
      </c>
      <c r="AC13" s="73" t="s">
        <v>1</v>
      </c>
      <c r="AD13" s="73" t="s">
        <v>133</v>
      </c>
      <c r="AE13" s="73" t="s">
        <v>131</v>
      </c>
      <c r="AF13" s="74">
        <v>900</v>
      </c>
    </row>
    <row r="14" spans="1:33" x14ac:dyDescent="0.35">
      <c r="A14" s="70">
        <v>4</v>
      </c>
      <c r="B14" s="71" t="s">
        <v>4</v>
      </c>
      <c r="C14" s="71" t="s">
        <v>135</v>
      </c>
      <c r="D14" s="2" t="str">
        <f t="shared" si="0"/>
        <v>m2</v>
      </c>
      <c r="E14" s="3">
        <f t="shared" si="1"/>
        <v>1100</v>
      </c>
      <c r="F14" s="70">
        <v>400</v>
      </c>
      <c r="G14" s="3">
        <f t="shared" si="2"/>
        <v>440000</v>
      </c>
      <c r="Y14" s="73" t="s">
        <v>143</v>
      </c>
      <c r="AC14" s="73" t="s">
        <v>1</v>
      </c>
      <c r="AD14" s="73" t="s">
        <v>134</v>
      </c>
      <c r="AE14" s="73" t="s">
        <v>131</v>
      </c>
      <c r="AF14" s="74">
        <v>1150</v>
      </c>
    </row>
    <row r="15" spans="1:33" x14ac:dyDescent="0.35">
      <c r="A15" s="70">
        <v>5</v>
      </c>
      <c r="B15" s="71" t="s">
        <v>3</v>
      </c>
      <c r="C15" s="71" t="s">
        <v>125</v>
      </c>
      <c r="D15" s="2" t="str">
        <f t="shared" si="0"/>
        <v>m2</v>
      </c>
      <c r="E15" s="3">
        <f t="shared" si="1"/>
        <v>600</v>
      </c>
      <c r="F15" s="70">
        <v>200</v>
      </c>
      <c r="G15" s="3">
        <f t="shared" si="2"/>
        <v>120000</v>
      </c>
      <c r="Y15" s="73" t="s">
        <v>142</v>
      </c>
      <c r="AC15" s="73" t="s">
        <v>4</v>
      </c>
      <c r="AD15" s="73" t="s">
        <v>135</v>
      </c>
      <c r="AE15" s="73" t="s">
        <v>131</v>
      </c>
      <c r="AF15" s="74">
        <v>1100</v>
      </c>
    </row>
    <row r="16" spans="1:33" x14ac:dyDescent="0.35">
      <c r="A16" s="70">
        <v>6</v>
      </c>
      <c r="B16" s="71" t="s">
        <v>1</v>
      </c>
      <c r="C16" s="71" t="s">
        <v>133</v>
      </c>
      <c r="D16" s="2" t="str">
        <f t="shared" si="0"/>
        <v>m2</v>
      </c>
      <c r="E16" s="3">
        <f t="shared" si="1"/>
        <v>900</v>
      </c>
      <c r="F16" s="70">
        <v>2300</v>
      </c>
      <c r="G16" s="3">
        <f t="shared" si="2"/>
        <v>2070000</v>
      </c>
      <c r="Y16" s="73" t="s">
        <v>145</v>
      </c>
      <c r="AC16" s="73" t="s">
        <v>4</v>
      </c>
      <c r="AD16" s="73" t="s">
        <v>136</v>
      </c>
      <c r="AE16" s="73" t="s">
        <v>131</v>
      </c>
      <c r="AF16" s="74">
        <v>1500</v>
      </c>
    </row>
    <row r="17" spans="1:32" x14ac:dyDescent="0.35">
      <c r="A17" s="70">
        <v>7</v>
      </c>
      <c r="B17" s="71" t="s">
        <v>1</v>
      </c>
      <c r="C17" s="71" t="s">
        <v>133</v>
      </c>
      <c r="D17" s="2" t="str">
        <f t="shared" si="0"/>
        <v>m2</v>
      </c>
      <c r="E17" s="3">
        <f t="shared" si="1"/>
        <v>900</v>
      </c>
      <c r="F17" s="70">
        <v>3000</v>
      </c>
      <c r="G17" s="3">
        <f t="shared" ref="G17" si="3">IF(F17="-","-",E17*F17)</f>
        <v>2700000</v>
      </c>
      <c r="AC17" s="73" t="s">
        <v>4</v>
      </c>
      <c r="AD17" s="73" t="s">
        <v>137</v>
      </c>
      <c r="AE17" s="73" t="s">
        <v>131</v>
      </c>
      <c r="AF17" s="74">
        <v>2400</v>
      </c>
    </row>
    <row r="18" spans="1:32" x14ac:dyDescent="0.35">
      <c r="A18" s="70">
        <v>8</v>
      </c>
      <c r="B18" s="71" t="s">
        <v>4</v>
      </c>
      <c r="C18" s="71" t="s">
        <v>136</v>
      </c>
      <c r="D18" s="2" t="str">
        <f t="shared" si="0"/>
        <v>m2</v>
      </c>
      <c r="E18" s="3">
        <f t="shared" si="1"/>
        <v>1500</v>
      </c>
      <c r="F18" s="70">
        <v>10000</v>
      </c>
      <c r="G18" s="3">
        <f t="shared" si="2"/>
        <v>15000000</v>
      </c>
      <c r="AC18" s="73" t="s">
        <v>5</v>
      </c>
      <c r="AD18" s="73" t="s">
        <v>138</v>
      </c>
      <c r="AE18" s="73" t="s">
        <v>144</v>
      </c>
      <c r="AF18" s="74">
        <v>1200000</v>
      </c>
    </row>
    <row r="19" spans="1:32" x14ac:dyDescent="0.35">
      <c r="A19" s="70">
        <v>9</v>
      </c>
      <c r="B19" s="71" t="s">
        <v>151</v>
      </c>
      <c r="C19" s="71"/>
      <c r="D19" s="2" t="str">
        <f t="shared" si="0"/>
        <v>-</v>
      </c>
      <c r="E19" s="3" t="str">
        <f t="shared" si="1"/>
        <v>-</v>
      </c>
      <c r="F19" s="70" t="s">
        <v>151</v>
      </c>
      <c r="G19" s="3" t="str">
        <f t="shared" si="2"/>
        <v>-</v>
      </c>
      <c r="AC19" s="73" t="s">
        <v>5</v>
      </c>
      <c r="AD19" s="73" t="s">
        <v>139</v>
      </c>
      <c r="AE19" s="73" t="s">
        <v>144</v>
      </c>
      <c r="AF19" s="74">
        <v>1800000</v>
      </c>
    </row>
    <row r="20" spans="1:32" x14ac:dyDescent="0.35">
      <c r="A20" s="70">
        <v>10</v>
      </c>
      <c r="B20" s="71" t="s">
        <v>151</v>
      </c>
      <c r="C20" s="71"/>
      <c r="D20" s="2" t="str">
        <f t="shared" si="0"/>
        <v>-</v>
      </c>
      <c r="E20" s="3" t="str">
        <f t="shared" si="1"/>
        <v>-</v>
      </c>
      <c r="F20" s="70" t="s">
        <v>151</v>
      </c>
      <c r="G20" s="3" t="str">
        <f t="shared" si="2"/>
        <v>-</v>
      </c>
      <c r="AC20" s="73" t="s">
        <v>5</v>
      </c>
      <c r="AD20" s="73" t="s">
        <v>140</v>
      </c>
      <c r="AE20" s="73" t="s">
        <v>144</v>
      </c>
      <c r="AF20" s="74">
        <v>2400000</v>
      </c>
    </row>
    <row r="21" spans="1:32" x14ac:dyDescent="0.35">
      <c r="A21" s="14"/>
      <c r="AC21" s="73" t="s">
        <v>5</v>
      </c>
      <c r="AD21" s="73" t="s">
        <v>141</v>
      </c>
      <c r="AE21" s="73" t="s">
        <v>144</v>
      </c>
      <c r="AF21" s="74">
        <v>1600000</v>
      </c>
    </row>
    <row r="22" spans="1:32" x14ac:dyDescent="0.35">
      <c r="A22" s="15"/>
      <c r="AC22" s="73" t="s">
        <v>5</v>
      </c>
      <c r="AD22" s="73" t="s">
        <v>143</v>
      </c>
      <c r="AE22" s="73" t="s">
        <v>144</v>
      </c>
      <c r="AF22" s="74">
        <v>2400000</v>
      </c>
    </row>
    <row r="23" spans="1:32" x14ac:dyDescent="0.35">
      <c r="A23" s="19" t="s">
        <v>167</v>
      </c>
      <c r="B23" t="s">
        <v>168</v>
      </c>
      <c r="AC23" s="73" t="s">
        <v>5</v>
      </c>
      <c r="AD23" s="73" t="s">
        <v>142</v>
      </c>
      <c r="AE23" s="73" t="s">
        <v>144</v>
      </c>
      <c r="AF23" s="74">
        <v>3200000</v>
      </c>
    </row>
    <row r="24" spans="1:32" x14ac:dyDescent="0.35">
      <c r="A24" s="15"/>
      <c r="AC24" s="73" t="s">
        <v>5</v>
      </c>
      <c r="AD24" s="73" t="s">
        <v>145</v>
      </c>
      <c r="AE24" s="73" t="s">
        <v>144</v>
      </c>
      <c r="AF24" s="74">
        <v>200000</v>
      </c>
    </row>
    <row r="25" spans="1:32" ht="21" x14ac:dyDescent="0.35">
      <c r="A25" s="62" t="s">
        <v>258</v>
      </c>
      <c r="AC25" s="73" t="s">
        <v>151</v>
      </c>
      <c r="AD25" s="73" t="s">
        <v>151</v>
      </c>
      <c r="AE25" s="73" t="s">
        <v>151</v>
      </c>
      <c r="AF25" s="73" t="s">
        <v>151</v>
      </c>
    </row>
    <row r="27" spans="1:32" x14ac:dyDescent="0.35">
      <c r="A27" t="s">
        <v>266</v>
      </c>
    </row>
    <row r="28" spans="1:32" ht="14.5" customHeight="1" x14ac:dyDescent="0.35">
      <c r="A28" s="14"/>
    </row>
    <row r="29" spans="1:32" ht="23" customHeight="1" x14ac:dyDescent="0.35">
      <c r="A29" s="19" t="s">
        <v>259</v>
      </c>
    </row>
    <row r="30" spans="1:32" ht="23" customHeight="1" x14ac:dyDescent="0.35">
      <c r="A30" s="63" t="s">
        <v>260</v>
      </c>
    </row>
    <row r="31" spans="1:32" ht="23" customHeight="1" x14ac:dyDescent="0.35">
      <c r="A31" s="63" t="s">
        <v>261</v>
      </c>
    </row>
    <row r="32" spans="1:32" ht="23" customHeight="1" x14ac:dyDescent="0.35">
      <c r="A32" s="63" t="s">
        <v>262</v>
      </c>
    </row>
    <row r="33" spans="1:1" ht="23" customHeight="1" x14ac:dyDescent="0.35">
      <c r="A33" s="19" t="s">
        <v>254</v>
      </c>
    </row>
    <row r="34" spans="1:1" ht="23" customHeight="1" x14ac:dyDescent="0.35">
      <c r="A34" s="63" t="s">
        <v>263</v>
      </c>
    </row>
    <row r="35" spans="1:1" ht="23" customHeight="1" x14ac:dyDescent="0.35">
      <c r="A35" s="63" t="s">
        <v>264</v>
      </c>
    </row>
    <row r="37" spans="1:1" x14ac:dyDescent="0.35">
      <c r="A37" s="50" t="s">
        <v>265</v>
      </c>
    </row>
    <row r="38" spans="1:1" x14ac:dyDescent="0.35">
      <c r="A38" s="17"/>
    </row>
    <row r="39" spans="1:1" x14ac:dyDescent="0.35">
      <c r="A39" s="16"/>
    </row>
    <row r="40" spans="1:1" x14ac:dyDescent="0.35">
      <c r="A40" s="17"/>
    </row>
    <row r="41" spans="1:1" x14ac:dyDescent="0.35">
      <c r="A41" s="16"/>
    </row>
    <row r="42" spans="1:1" x14ac:dyDescent="0.35">
      <c r="A42" s="17"/>
    </row>
    <row r="43" spans="1:1" x14ac:dyDescent="0.35">
      <c r="A43" s="14"/>
    </row>
    <row r="44" spans="1:1" x14ac:dyDescent="0.35">
      <c r="A44" s="15"/>
    </row>
    <row r="45" spans="1:1" x14ac:dyDescent="0.35">
      <c r="A45" s="14"/>
    </row>
    <row r="46" spans="1:1" x14ac:dyDescent="0.35">
      <c r="A46" s="15"/>
    </row>
    <row r="48" spans="1:1" ht="17.5" x14ac:dyDescent="0.35">
      <c r="A48" s="13"/>
    </row>
    <row r="49" spans="1:1" x14ac:dyDescent="0.35">
      <c r="A49" s="14"/>
    </row>
    <row r="50" spans="1:1" x14ac:dyDescent="0.35">
      <c r="A50" s="15"/>
    </row>
    <row r="51" spans="1:1" x14ac:dyDescent="0.35">
      <c r="A51" s="14"/>
    </row>
    <row r="52" spans="1:1" x14ac:dyDescent="0.35">
      <c r="A52" s="15"/>
    </row>
    <row r="53" spans="1:1" x14ac:dyDescent="0.35">
      <c r="A53" s="14"/>
    </row>
    <row r="54" spans="1:1" x14ac:dyDescent="0.35">
      <c r="A54" s="14"/>
    </row>
    <row r="55" spans="1:1" x14ac:dyDescent="0.35">
      <c r="A55" s="16"/>
    </row>
    <row r="56" spans="1:1" x14ac:dyDescent="0.35">
      <c r="A56" s="18"/>
    </row>
    <row r="57" spans="1:1" x14ac:dyDescent="0.35">
      <c r="A57" s="16"/>
    </row>
    <row r="58" spans="1:1" x14ac:dyDescent="0.35">
      <c r="A58" s="18"/>
    </row>
    <row r="59" spans="1:1" x14ac:dyDescent="0.35">
      <c r="A59" s="14"/>
    </row>
    <row r="60" spans="1:1" x14ac:dyDescent="0.35">
      <c r="A60" s="15"/>
    </row>
    <row r="62" spans="1:1" ht="23.5" x14ac:dyDescent="0.35">
      <c r="A62" s="12"/>
    </row>
    <row r="63" spans="1:1" x14ac:dyDescent="0.35">
      <c r="A63" s="14"/>
    </row>
    <row r="64" spans="1:1" x14ac:dyDescent="0.35">
      <c r="A64" s="19"/>
    </row>
    <row r="65" spans="1:1" x14ac:dyDescent="0.35">
      <c r="A65" s="14"/>
    </row>
    <row r="66" spans="1:1" x14ac:dyDescent="0.35">
      <c r="A66" s="19"/>
    </row>
    <row r="67" spans="1:1" x14ac:dyDescent="0.35">
      <c r="A67" s="14"/>
    </row>
    <row r="68" spans="1:1" x14ac:dyDescent="0.35">
      <c r="A68" s="19"/>
    </row>
    <row r="69" spans="1:1" x14ac:dyDescent="0.35">
      <c r="A69" s="14"/>
    </row>
    <row r="70" spans="1:1" x14ac:dyDescent="0.35">
      <c r="A70" s="19"/>
    </row>
    <row r="71" spans="1:1" x14ac:dyDescent="0.35">
      <c r="A71" s="14"/>
    </row>
    <row r="72" spans="1:1" x14ac:dyDescent="0.35">
      <c r="A72" s="14"/>
    </row>
    <row r="73" spans="1:1" x14ac:dyDescent="0.35">
      <c r="A73" s="16"/>
    </row>
    <row r="74" spans="1:1" x14ac:dyDescent="0.35">
      <c r="A74" s="18"/>
    </row>
    <row r="75" spans="1:1" x14ac:dyDescent="0.35">
      <c r="A75" s="16"/>
    </row>
    <row r="76" spans="1:1" x14ac:dyDescent="0.35">
      <c r="A76" s="18"/>
    </row>
    <row r="77" spans="1:1" x14ac:dyDescent="0.35">
      <c r="A77" s="14"/>
    </row>
    <row r="78" spans="1:1" x14ac:dyDescent="0.35">
      <c r="A78" s="19"/>
    </row>
  </sheetData>
  <sheetProtection sheet="1" objects="1" scenarios="1"/>
  <mergeCells count="1">
    <mergeCell ref="A2:I2"/>
  </mergeCells>
  <dataValidations count="2">
    <dataValidation type="list" allowBlank="1" showInputMessage="1" showErrorMessage="1" sqref="C11:C20" xr:uid="{1DD4DFA9-7B3D-4CC3-B267-29A85AAB00F2}">
      <formula1>INDIRECT(B11)</formula1>
    </dataValidation>
    <dataValidation type="list" allowBlank="1" showInputMessage="1" showErrorMessage="1" sqref="B11:B20" xr:uid="{B71DEDC8-1237-4379-8215-087ACCDC6B2D}">
      <formula1>$U$9:$Y$9</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41734-12CD-4B69-85EF-8B0B26C1422C}">
  <sheetPr>
    <tabColor rgb="FFFFC000"/>
  </sheetPr>
  <dimension ref="A1:W26"/>
  <sheetViews>
    <sheetView zoomScale="130" zoomScaleNormal="130" workbookViewId="0">
      <selection activeCell="C38" sqref="C38"/>
    </sheetView>
  </sheetViews>
  <sheetFormatPr defaultRowHeight="14.5" x14ac:dyDescent="0.35"/>
  <cols>
    <col min="1" max="1" width="10.453125" bestFit="1" customWidth="1"/>
    <col min="2" max="2" width="34.1796875" bestFit="1" customWidth="1"/>
    <col min="3" max="3" width="48.81640625" bestFit="1" customWidth="1"/>
    <col min="4" max="4" width="11.7265625" bestFit="1" customWidth="1"/>
    <col min="5" max="5" width="14.7265625" bestFit="1" customWidth="1"/>
  </cols>
  <sheetData>
    <row r="1" spans="1:23" s="4" customFormat="1" x14ac:dyDescent="0.35"/>
    <row r="2" spans="1:23" s="4" customFormat="1" ht="65.5" customHeight="1" x14ac:dyDescent="0.35">
      <c r="A2" s="80" t="s">
        <v>234</v>
      </c>
      <c r="B2" s="80"/>
      <c r="C2" s="80"/>
      <c r="D2" s="80"/>
      <c r="E2" s="80"/>
      <c r="F2" s="80"/>
      <c r="G2" s="80"/>
      <c r="H2" s="80"/>
      <c r="I2" s="80"/>
      <c r="J2" s="38"/>
      <c r="K2" s="38"/>
      <c r="L2" s="38"/>
      <c r="M2" s="38"/>
      <c r="N2" s="38"/>
      <c r="O2" s="38"/>
      <c r="P2" s="38"/>
      <c r="Q2" s="38"/>
      <c r="R2" s="38"/>
      <c r="S2" s="38"/>
      <c r="T2" s="38"/>
      <c r="U2" s="38"/>
      <c r="V2" s="38"/>
      <c r="W2" s="38"/>
    </row>
    <row r="3" spans="1:23" s="4" customFormat="1" x14ac:dyDescent="0.35"/>
    <row r="6" spans="1:23" ht="28.5" x14ac:dyDescent="0.65">
      <c r="A6" s="36" t="s">
        <v>232</v>
      </c>
    </row>
    <row r="8" spans="1:23" x14ac:dyDescent="0.35">
      <c r="A8" s="11"/>
      <c r="B8" t="s">
        <v>169</v>
      </c>
    </row>
    <row r="11" spans="1:23" x14ac:dyDescent="0.35">
      <c r="A11" s="20" t="s">
        <v>69</v>
      </c>
      <c r="B11" s="20" t="s">
        <v>101</v>
      </c>
      <c r="C11" s="20" t="s">
        <v>172</v>
      </c>
      <c r="D11" s="20" t="s">
        <v>173</v>
      </c>
      <c r="E11" s="20" t="s">
        <v>174</v>
      </c>
    </row>
    <row r="12" spans="1:23" x14ac:dyDescent="0.35">
      <c r="A12" t="s">
        <v>1</v>
      </c>
      <c r="B12" t="s">
        <v>175</v>
      </c>
      <c r="C12" t="s">
        <v>176</v>
      </c>
      <c r="D12" s="70">
        <v>0.05</v>
      </c>
      <c r="E12" s="70">
        <v>0.2</v>
      </c>
    </row>
    <row r="13" spans="1:23" x14ac:dyDescent="0.35">
      <c r="A13" t="s">
        <v>1</v>
      </c>
      <c r="B13" t="s">
        <v>177</v>
      </c>
      <c r="C13" t="s">
        <v>195</v>
      </c>
      <c r="D13" s="70">
        <v>0.35</v>
      </c>
      <c r="E13" s="70">
        <v>0.7</v>
      </c>
    </row>
    <row r="14" spans="1:23" x14ac:dyDescent="0.35">
      <c r="A14" t="s">
        <v>1</v>
      </c>
      <c r="B14" t="s">
        <v>178</v>
      </c>
      <c r="C14" t="s">
        <v>179</v>
      </c>
      <c r="D14" s="70">
        <v>1.1000000000000001</v>
      </c>
      <c r="E14" s="70">
        <v>1</v>
      </c>
    </row>
    <row r="15" spans="1:23" x14ac:dyDescent="0.35">
      <c r="A15" t="s">
        <v>3</v>
      </c>
      <c r="B15" t="s">
        <v>191</v>
      </c>
      <c r="C15" t="s">
        <v>192</v>
      </c>
      <c r="D15" s="70">
        <v>0.08</v>
      </c>
      <c r="E15" s="70">
        <v>0.25</v>
      </c>
    </row>
    <row r="16" spans="1:23" x14ac:dyDescent="0.35">
      <c r="A16" t="s">
        <v>3</v>
      </c>
      <c r="B16" t="s">
        <v>194</v>
      </c>
      <c r="C16" t="s">
        <v>195</v>
      </c>
      <c r="D16" s="70">
        <v>0.3</v>
      </c>
      <c r="E16" s="70">
        <v>0.7</v>
      </c>
    </row>
    <row r="17" spans="1:5" x14ac:dyDescent="0.35">
      <c r="A17" t="s">
        <v>3</v>
      </c>
      <c r="B17" t="s">
        <v>193</v>
      </c>
      <c r="C17" t="s">
        <v>179</v>
      </c>
      <c r="D17" s="70">
        <v>1.1000000000000001</v>
      </c>
      <c r="E17" s="70">
        <v>1</v>
      </c>
    </row>
    <row r="18" spans="1:5" x14ac:dyDescent="0.35">
      <c r="A18" t="s">
        <v>4</v>
      </c>
      <c r="B18" t="s">
        <v>180</v>
      </c>
      <c r="C18" t="s">
        <v>181</v>
      </c>
      <c r="D18" s="70">
        <v>0.1</v>
      </c>
      <c r="E18" s="70">
        <v>0.3</v>
      </c>
    </row>
    <row r="19" spans="1:5" x14ac:dyDescent="0.35">
      <c r="A19" t="s">
        <v>4</v>
      </c>
      <c r="B19" t="s">
        <v>182</v>
      </c>
      <c r="C19" t="s">
        <v>183</v>
      </c>
      <c r="D19" s="70">
        <v>0.4</v>
      </c>
      <c r="E19" s="70">
        <v>0.85</v>
      </c>
    </row>
    <row r="20" spans="1:5" x14ac:dyDescent="0.35">
      <c r="A20" t="s">
        <v>4</v>
      </c>
      <c r="B20" t="s">
        <v>184</v>
      </c>
      <c r="C20" t="s">
        <v>185</v>
      </c>
      <c r="D20" s="70">
        <v>1.2</v>
      </c>
      <c r="E20" s="70">
        <v>1</v>
      </c>
    </row>
    <row r="21" spans="1:5" x14ac:dyDescent="0.35">
      <c r="A21" t="s">
        <v>5</v>
      </c>
      <c r="B21" t="s">
        <v>186</v>
      </c>
      <c r="C21" t="s">
        <v>187</v>
      </c>
      <c r="D21" s="70">
        <v>0.15</v>
      </c>
      <c r="E21" s="70">
        <v>0.4</v>
      </c>
    </row>
    <row r="22" spans="1:5" x14ac:dyDescent="0.35">
      <c r="A22" t="s">
        <v>5</v>
      </c>
      <c r="B22" t="s">
        <v>188</v>
      </c>
      <c r="C22" t="s">
        <v>189</v>
      </c>
      <c r="D22" s="70">
        <v>0.1</v>
      </c>
      <c r="E22" s="70">
        <v>0.3</v>
      </c>
    </row>
    <row r="23" spans="1:5" x14ac:dyDescent="0.35">
      <c r="A23" t="s">
        <v>5</v>
      </c>
      <c r="B23" t="s">
        <v>190</v>
      </c>
      <c r="C23" t="s">
        <v>196</v>
      </c>
      <c r="D23" s="70">
        <v>0.45</v>
      </c>
      <c r="E23" s="70">
        <v>0.7</v>
      </c>
    </row>
    <row r="26" spans="1:5" x14ac:dyDescent="0.35">
      <c r="A26" s="19" t="s">
        <v>167</v>
      </c>
      <c r="B26" t="s">
        <v>168</v>
      </c>
    </row>
  </sheetData>
  <sheetProtection sheet="1" objects="1" scenarios="1"/>
  <mergeCells count="1">
    <mergeCell ref="A2:I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F756E-6BFB-4B50-B1AB-49B764E1C7DD}">
  <sheetPr>
    <tabColor rgb="FFFFC000"/>
  </sheetPr>
  <dimension ref="A1:M46"/>
  <sheetViews>
    <sheetView workbookViewId="0">
      <selection activeCell="F32" sqref="F32"/>
    </sheetView>
  </sheetViews>
  <sheetFormatPr defaultRowHeight="14.5" x14ac:dyDescent="0.35"/>
  <cols>
    <col min="1" max="1" width="10.453125" style="4" bestFit="1" customWidth="1"/>
    <col min="2" max="9" width="15.81640625" style="4" customWidth="1"/>
    <col min="10" max="10" width="13.08984375" style="4" bestFit="1" customWidth="1"/>
    <col min="11" max="11" width="13.6328125" style="4" customWidth="1"/>
    <col min="12" max="12" width="10.90625" style="4" customWidth="1"/>
    <col min="13" max="13" width="11.08984375" style="4" customWidth="1"/>
    <col min="14" max="16384" width="8.7265625" style="4"/>
  </cols>
  <sheetData>
    <row r="1" spans="1:13" x14ac:dyDescent="0.35">
      <c r="A1" s="82" t="s">
        <v>94</v>
      </c>
      <c r="B1" s="82" t="s">
        <v>158</v>
      </c>
      <c r="C1" s="82" t="s">
        <v>159</v>
      </c>
      <c r="D1" s="82"/>
      <c r="E1" s="82"/>
      <c r="F1" s="82"/>
      <c r="G1" s="82"/>
      <c r="H1" s="82"/>
      <c r="I1" s="82"/>
      <c r="J1" s="82" t="s">
        <v>109</v>
      </c>
      <c r="K1" s="82" t="s">
        <v>160</v>
      </c>
      <c r="L1" s="82"/>
      <c r="M1" s="82"/>
    </row>
    <row r="2" spans="1:13" s="6" customFormat="1" ht="26" customHeight="1" x14ac:dyDescent="0.35">
      <c r="A2" s="82"/>
      <c r="B2" s="82"/>
      <c r="C2" s="7" t="s">
        <v>9</v>
      </c>
      <c r="D2" s="7" t="s">
        <v>18</v>
      </c>
      <c r="E2" s="7" t="s">
        <v>66</v>
      </c>
      <c r="F2" s="7" t="s">
        <v>33</v>
      </c>
      <c r="G2" s="7" t="s">
        <v>37</v>
      </c>
      <c r="H2" s="7" t="s">
        <v>52</v>
      </c>
      <c r="I2" s="7" t="s">
        <v>71</v>
      </c>
      <c r="J2" s="82"/>
      <c r="K2" s="8" t="s">
        <v>122</v>
      </c>
      <c r="L2" s="8" t="s">
        <v>123</v>
      </c>
      <c r="M2" s="8" t="s">
        <v>124</v>
      </c>
    </row>
    <row r="3" spans="1:13" x14ac:dyDescent="0.35">
      <c r="A3" s="4" t="s">
        <v>1</v>
      </c>
      <c r="B3" s="4" t="s">
        <v>9</v>
      </c>
      <c r="C3" s="4" t="s">
        <v>9</v>
      </c>
      <c r="D3" s="4" t="s">
        <v>11</v>
      </c>
      <c r="E3" s="4" t="s">
        <v>7</v>
      </c>
      <c r="F3" s="4" t="s">
        <v>9</v>
      </c>
      <c r="G3" s="4" t="s">
        <v>32</v>
      </c>
      <c r="H3" s="4" t="s">
        <v>7</v>
      </c>
      <c r="I3" s="4" t="s">
        <v>8</v>
      </c>
      <c r="J3" s="5" t="s">
        <v>110</v>
      </c>
      <c r="K3" s="75">
        <v>8.3099999999999993E-2</v>
      </c>
      <c r="L3" s="76">
        <v>1</v>
      </c>
      <c r="M3" s="77">
        <v>40</v>
      </c>
    </row>
    <row r="4" spans="1:13" x14ac:dyDescent="0.35">
      <c r="A4" s="4" t="s">
        <v>3</v>
      </c>
      <c r="B4" s="4" t="s">
        <v>18</v>
      </c>
      <c r="C4" s="4" t="s">
        <v>13</v>
      </c>
      <c r="D4" s="4" t="s">
        <v>18</v>
      </c>
      <c r="E4" s="4" t="s">
        <v>14</v>
      </c>
      <c r="F4" s="4" t="s">
        <v>15</v>
      </c>
      <c r="G4" s="4" t="s">
        <v>37</v>
      </c>
      <c r="H4" s="4" t="s">
        <v>76</v>
      </c>
      <c r="I4" s="4" t="s">
        <v>9</v>
      </c>
      <c r="J4" s="5" t="s">
        <v>100</v>
      </c>
    </row>
    <row r="5" spans="1:13" x14ac:dyDescent="0.35">
      <c r="A5" s="4" t="s">
        <v>4</v>
      </c>
      <c r="B5" s="4" t="s">
        <v>66</v>
      </c>
      <c r="C5" s="4" t="s">
        <v>14</v>
      </c>
      <c r="D5" s="4" t="s">
        <v>21</v>
      </c>
      <c r="E5" s="4" t="s">
        <v>17</v>
      </c>
      <c r="F5" s="4" t="s">
        <v>16</v>
      </c>
      <c r="G5" s="4" t="s">
        <v>38</v>
      </c>
      <c r="H5" s="4" t="s">
        <v>20</v>
      </c>
      <c r="I5" s="4" t="s">
        <v>10</v>
      </c>
      <c r="J5" s="5" t="s">
        <v>111</v>
      </c>
    </row>
    <row r="6" spans="1:13" x14ac:dyDescent="0.35">
      <c r="A6" s="4" t="s">
        <v>5</v>
      </c>
      <c r="B6" s="4" t="s">
        <v>33</v>
      </c>
      <c r="C6" s="4" t="s">
        <v>16</v>
      </c>
      <c r="D6" s="4" t="s">
        <v>22</v>
      </c>
      <c r="E6" s="4" t="s">
        <v>19</v>
      </c>
      <c r="F6" s="4" t="s">
        <v>26</v>
      </c>
      <c r="G6" s="4" t="s">
        <v>50</v>
      </c>
      <c r="H6" s="4" t="s">
        <v>90</v>
      </c>
      <c r="I6" s="4" t="s">
        <v>12</v>
      </c>
    </row>
    <row r="7" spans="1:13" x14ac:dyDescent="0.35">
      <c r="B7" s="4" t="s">
        <v>37</v>
      </c>
      <c r="C7" s="4" t="s">
        <v>25</v>
      </c>
      <c r="D7" s="4" t="s">
        <v>23</v>
      </c>
      <c r="E7" s="4" t="s">
        <v>31</v>
      </c>
      <c r="F7" s="4" t="s">
        <v>33</v>
      </c>
      <c r="G7" s="4" t="s">
        <v>55</v>
      </c>
      <c r="H7" s="4" t="s">
        <v>25</v>
      </c>
      <c r="I7" s="4" t="s">
        <v>18</v>
      </c>
    </row>
    <row r="8" spans="1:13" x14ac:dyDescent="0.35">
      <c r="B8" s="4" t="s">
        <v>52</v>
      </c>
      <c r="C8" s="4" t="s">
        <v>27</v>
      </c>
      <c r="D8" s="4" t="s">
        <v>84</v>
      </c>
      <c r="E8" s="4" t="s">
        <v>34</v>
      </c>
      <c r="F8" s="4" t="s">
        <v>40</v>
      </c>
      <c r="G8" s="4" t="s">
        <v>57</v>
      </c>
      <c r="H8" s="4" t="s">
        <v>27</v>
      </c>
      <c r="I8" s="4" t="s">
        <v>21</v>
      </c>
    </row>
    <row r="9" spans="1:13" x14ac:dyDescent="0.35">
      <c r="B9" s="4" t="s">
        <v>71</v>
      </c>
      <c r="C9" s="4" t="s">
        <v>30</v>
      </c>
      <c r="D9" s="4" t="s">
        <v>35</v>
      </c>
      <c r="E9" s="4" t="s">
        <v>74</v>
      </c>
      <c r="F9" s="4" t="s">
        <v>50</v>
      </c>
      <c r="G9" s="4" t="s">
        <v>58</v>
      </c>
      <c r="H9" s="4" t="s">
        <v>29</v>
      </c>
      <c r="I9" s="4" t="s">
        <v>22</v>
      </c>
    </row>
    <row r="10" spans="1:13" x14ac:dyDescent="0.35">
      <c r="C10" s="4" t="s">
        <v>31</v>
      </c>
      <c r="D10" s="4" t="s">
        <v>85</v>
      </c>
      <c r="E10" s="4" t="s">
        <v>36</v>
      </c>
      <c r="F10" s="4" t="s">
        <v>70</v>
      </c>
      <c r="G10" s="4" t="s">
        <v>62</v>
      </c>
      <c r="H10" s="4" t="s">
        <v>91</v>
      </c>
      <c r="I10" s="4" t="s">
        <v>23</v>
      </c>
    </row>
    <row r="11" spans="1:13" x14ac:dyDescent="0.35">
      <c r="C11" s="4" t="s">
        <v>33</v>
      </c>
      <c r="D11" s="4" t="s">
        <v>44</v>
      </c>
      <c r="E11" s="4" t="s">
        <v>41</v>
      </c>
      <c r="F11" s="4" t="s">
        <v>79</v>
      </c>
      <c r="G11" s="4" t="s">
        <v>88</v>
      </c>
      <c r="H11" s="4" t="s">
        <v>41</v>
      </c>
      <c r="I11" s="4" t="s">
        <v>84</v>
      </c>
    </row>
    <row r="12" spans="1:13" x14ac:dyDescent="0.35">
      <c r="C12" s="4" t="s">
        <v>74</v>
      </c>
      <c r="D12" s="4" t="s">
        <v>48</v>
      </c>
      <c r="E12" s="4" t="s">
        <v>43</v>
      </c>
      <c r="F12" s="4" t="s">
        <v>89</v>
      </c>
      <c r="H12" s="4" t="s">
        <v>45</v>
      </c>
      <c r="I12" s="4" t="s">
        <v>24</v>
      </c>
    </row>
    <row r="13" spans="1:13" x14ac:dyDescent="0.35">
      <c r="C13" s="4" t="s">
        <v>36</v>
      </c>
      <c r="D13" s="4" t="s">
        <v>86</v>
      </c>
      <c r="E13" s="4" t="s">
        <v>52</v>
      </c>
      <c r="F13" s="4" t="s">
        <v>72</v>
      </c>
      <c r="H13" s="4" t="s">
        <v>46</v>
      </c>
      <c r="I13" s="4" t="s">
        <v>27</v>
      </c>
    </row>
    <row r="14" spans="1:13" x14ac:dyDescent="0.35">
      <c r="C14" s="4" t="s">
        <v>75</v>
      </c>
      <c r="D14" s="4" t="s">
        <v>79</v>
      </c>
      <c r="E14" s="4" t="s">
        <v>87</v>
      </c>
      <c r="F14" s="4" t="s">
        <v>83</v>
      </c>
      <c r="H14" s="4" t="s">
        <v>49</v>
      </c>
      <c r="I14" s="4" t="s">
        <v>28</v>
      </c>
    </row>
    <row r="15" spans="1:13" x14ac:dyDescent="0.35">
      <c r="C15" s="4" t="s">
        <v>39</v>
      </c>
      <c r="D15" s="4" t="s">
        <v>57</v>
      </c>
      <c r="E15" s="4" t="s">
        <v>61</v>
      </c>
      <c r="F15" s="4" t="s">
        <v>73</v>
      </c>
      <c r="H15" s="4" t="s">
        <v>52</v>
      </c>
      <c r="I15" s="4" t="s">
        <v>30</v>
      </c>
    </row>
    <row r="16" spans="1:13" x14ac:dyDescent="0.35">
      <c r="C16" s="4" t="s">
        <v>42</v>
      </c>
      <c r="D16" s="4" t="s">
        <v>62</v>
      </c>
      <c r="E16" s="4" t="s">
        <v>64</v>
      </c>
      <c r="F16" s="4" t="s">
        <v>55</v>
      </c>
      <c r="H16" s="4" t="s">
        <v>86</v>
      </c>
      <c r="I16" s="4" t="s">
        <v>33</v>
      </c>
    </row>
    <row r="17" spans="3:9" x14ac:dyDescent="0.35">
      <c r="C17" s="4" t="s">
        <v>45</v>
      </c>
      <c r="D17" s="4" t="s">
        <v>88</v>
      </c>
      <c r="F17" s="4" t="s">
        <v>60</v>
      </c>
      <c r="H17" s="4" t="s">
        <v>54</v>
      </c>
      <c r="I17" s="4" t="s">
        <v>85</v>
      </c>
    </row>
    <row r="18" spans="3:9" x14ac:dyDescent="0.35">
      <c r="C18" s="4" t="s">
        <v>47</v>
      </c>
      <c r="H18" s="4" t="s">
        <v>79</v>
      </c>
      <c r="I18" s="4" t="s">
        <v>92</v>
      </c>
    </row>
    <row r="19" spans="3:9" x14ac:dyDescent="0.35">
      <c r="C19" s="4" t="s">
        <v>51</v>
      </c>
      <c r="H19" s="4" t="s">
        <v>81</v>
      </c>
      <c r="I19" s="4" t="s">
        <v>93</v>
      </c>
    </row>
    <row r="20" spans="3:9" x14ac:dyDescent="0.35">
      <c r="C20" s="4" t="s">
        <v>77</v>
      </c>
      <c r="H20" s="4" t="s">
        <v>61</v>
      </c>
      <c r="I20" s="4" t="s">
        <v>39</v>
      </c>
    </row>
    <row r="21" spans="3:9" x14ac:dyDescent="0.35">
      <c r="C21" s="4" t="s">
        <v>78</v>
      </c>
      <c r="I21" s="4" t="s">
        <v>40</v>
      </c>
    </row>
    <row r="22" spans="3:9" x14ac:dyDescent="0.35">
      <c r="C22" s="4" t="s">
        <v>79</v>
      </c>
      <c r="I22" s="4" t="s">
        <v>46</v>
      </c>
    </row>
    <row r="23" spans="3:9" x14ac:dyDescent="0.35">
      <c r="C23" s="4" t="s">
        <v>80</v>
      </c>
      <c r="I23" s="4" t="s">
        <v>48</v>
      </c>
    </row>
    <row r="24" spans="3:9" x14ac:dyDescent="0.35">
      <c r="C24" s="4" t="s">
        <v>81</v>
      </c>
      <c r="I24" s="4" t="s">
        <v>49</v>
      </c>
    </row>
    <row r="25" spans="3:9" x14ac:dyDescent="0.35">
      <c r="C25" s="4" t="s">
        <v>82</v>
      </c>
      <c r="I25" s="4" t="s">
        <v>53</v>
      </c>
    </row>
    <row r="26" spans="3:9" x14ac:dyDescent="0.35">
      <c r="C26" s="4" t="s">
        <v>83</v>
      </c>
      <c r="I26" s="4" t="s">
        <v>86</v>
      </c>
    </row>
    <row r="27" spans="3:9" x14ac:dyDescent="0.35">
      <c r="C27" s="4" t="s">
        <v>55</v>
      </c>
      <c r="I27" s="4" t="s">
        <v>54</v>
      </c>
    </row>
    <row r="28" spans="3:9" x14ac:dyDescent="0.35">
      <c r="C28" s="4" t="s">
        <v>56</v>
      </c>
      <c r="I28" s="4" t="s">
        <v>70</v>
      </c>
    </row>
    <row r="29" spans="3:9" x14ac:dyDescent="0.35">
      <c r="C29" s="4" t="s">
        <v>61</v>
      </c>
      <c r="I29" s="4" t="s">
        <v>79</v>
      </c>
    </row>
    <row r="30" spans="3:9" x14ac:dyDescent="0.35">
      <c r="C30" s="4" t="s">
        <v>63</v>
      </c>
      <c r="I30" s="4" t="s">
        <v>81</v>
      </c>
    </row>
    <row r="31" spans="3:9" x14ac:dyDescent="0.35">
      <c r="C31" s="4" t="s">
        <v>64</v>
      </c>
      <c r="I31" s="4" t="s">
        <v>82</v>
      </c>
    </row>
    <row r="32" spans="3:9" x14ac:dyDescent="0.35">
      <c r="C32" s="4" t="s">
        <v>65</v>
      </c>
      <c r="I32" s="4" t="s">
        <v>73</v>
      </c>
    </row>
    <row r="33" spans="1:9" x14ac:dyDescent="0.35">
      <c r="I33" s="4" t="s">
        <v>59</v>
      </c>
    </row>
    <row r="34" spans="1:9" x14ac:dyDescent="0.35">
      <c r="I34" s="4" t="s">
        <v>60</v>
      </c>
    </row>
    <row r="35" spans="1:9" x14ac:dyDescent="0.35">
      <c r="I35" s="4" t="s">
        <v>62</v>
      </c>
    </row>
    <row r="36" spans="1:9" x14ac:dyDescent="0.35">
      <c r="I36" s="4" t="s">
        <v>63</v>
      </c>
    </row>
    <row r="37" spans="1:9" x14ac:dyDescent="0.35">
      <c r="I37" s="4" t="s">
        <v>88</v>
      </c>
    </row>
    <row r="44" spans="1:9" x14ac:dyDescent="0.35">
      <c r="A44" s="33" t="s">
        <v>155</v>
      </c>
    </row>
    <row r="45" spans="1:9" x14ac:dyDescent="0.35">
      <c r="A45" s="4" t="s">
        <v>156</v>
      </c>
      <c r="C45" s="10" t="s">
        <v>129</v>
      </c>
    </row>
    <row r="46" spans="1:9" x14ac:dyDescent="0.35">
      <c r="A46" s="4" t="s">
        <v>157</v>
      </c>
      <c r="C46" s="10" t="s">
        <v>128</v>
      </c>
    </row>
  </sheetData>
  <sheetProtection sheet="1" objects="1" scenarios="1"/>
  <mergeCells count="5">
    <mergeCell ref="K1:M1"/>
    <mergeCell ref="A1:A2"/>
    <mergeCell ref="B1:B2"/>
    <mergeCell ref="C1:I1"/>
    <mergeCell ref="J1:J2"/>
  </mergeCells>
  <hyperlinks>
    <hyperlink ref="C46" r:id="rId1" location=":~:text=Estos%20precios%20ajustados%20son%20los,aportes%20significativos%20para%20la%20sociedad" xr:uid="{5043EAAC-E7FA-404E-BA47-D038E098D940}"/>
    <hyperlink ref="C45" r:id="rId2" display="GRAF, 2023" xr:uid="{90CFE9F7-3D99-4EB3-BDAB-D74FDDDD096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G83"/>
  <sheetViews>
    <sheetView workbookViewId="0">
      <selection activeCell="K30" sqref="K30"/>
    </sheetView>
  </sheetViews>
  <sheetFormatPr defaultRowHeight="14.5" x14ac:dyDescent="0.35"/>
  <cols>
    <col min="1" max="1" width="19.26953125" bestFit="1" customWidth="1"/>
    <col min="2" max="7" width="12.7265625" customWidth="1"/>
  </cols>
  <sheetData>
    <row r="1" spans="1:7" x14ac:dyDescent="0.35">
      <c r="A1" s="1" t="s">
        <v>6</v>
      </c>
      <c r="B1" s="1" t="s">
        <v>0</v>
      </c>
      <c r="C1" s="1" t="s">
        <v>1</v>
      </c>
      <c r="D1" s="1" t="s">
        <v>2</v>
      </c>
      <c r="E1" s="1" t="s">
        <v>3</v>
      </c>
      <c r="F1" s="1" t="s">
        <v>4</v>
      </c>
      <c r="G1" s="1" t="s">
        <v>5</v>
      </c>
    </row>
    <row r="2" spans="1:7" x14ac:dyDescent="0.35">
      <c r="A2" s="1" t="s">
        <v>7</v>
      </c>
      <c r="B2">
        <v>56</v>
      </c>
      <c r="C2">
        <v>43</v>
      </c>
      <c r="D2">
        <v>0</v>
      </c>
      <c r="E2">
        <v>7932</v>
      </c>
      <c r="F2">
        <v>3</v>
      </c>
      <c r="G2">
        <v>18</v>
      </c>
    </row>
    <row r="3" spans="1:7" x14ac:dyDescent="0.35">
      <c r="A3" s="1" t="s">
        <v>8</v>
      </c>
      <c r="B3">
        <v>245</v>
      </c>
      <c r="C3">
        <v>57</v>
      </c>
      <c r="D3">
        <v>0</v>
      </c>
      <c r="E3">
        <v>9028</v>
      </c>
      <c r="F3">
        <v>4</v>
      </c>
      <c r="G3">
        <v>8</v>
      </c>
    </row>
    <row r="4" spans="1:7" x14ac:dyDescent="0.35">
      <c r="A4" s="1" t="s">
        <v>9</v>
      </c>
      <c r="B4">
        <v>1370</v>
      </c>
      <c r="C4">
        <v>106</v>
      </c>
      <c r="D4">
        <v>3711</v>
      </c>
      <c r="E4">
        <v>110803</v>
      </c>
      <c r="F4">
        <v>32</v>
      </c>
      <c r="G4">
        <v>55</v>
      </c>
    </row>
    <row r="5" spans="1:7" x14ac:dyDescent="0.35">
      <c r="A5" s="1" t="s">
        <v>10</v>
      </c>
      <c r="B5">
        <v>4237</v>
      </c>
      <c r="C5">
        <v>22</v>
      </c>
      <c r="D5">
        <v>2043</v>
      </c>
      <c r="E5">
        <v>25233</v>
      </c>
      <c r="F5">
        <v>5</v>
      </c>
      <c r="G5">
        <v>8</v>
      </c>
    </row>
    <row r="6" spans="1:7" x14ac:dyDescent="0.35">
      <c r="A6" s="1" t="s">
        <v>11</v>
      </c>
      <c r="B6">
        <v>0</v>
      </c>
      <c r="C6">
        <v>14</v>
      </c>
      <c r="D6">
        <v>0</v>
      </c>
      <c r="E6">
        <v>5612</v>
      </c>
      <c r="F6">
        <v>3</v>
      </c>
      <c r="G6">
        <v>11</v>
      </c>
    </row>
    <row r="7" spans="1:7" x14ac:dyDescent="0.35">
      <c r="A7" s="1" t="s">
        <v>12</v>
      </c>
      <c r="B7">
        <v>179</v>
      </c>
      <c r="C7">
        <v>33</v>
      </c>
      <c r="D7">
        <v>1212</v>
      </c>
      <c r="E7">
        <v>21236</v>
      </c>
      <c r="F7">
        <v>7</v>
      </c>
      <c r="G7">
        <v>10</v>
      </c>
    </row>
    <row r="8" spans="1:7" x14ac:dyDescent="0.35">
      <c r="A8" s="1" t="s">
        <v>13</v>
      </c>
      <c r="B8">
        <v>330</v>
      </c>
      <c r="C8">
        <v>24</v>
      </c>
      <c r="D8">
        <v>0</v>
      </c>
      <c r="E8">
        <v>11835</v>
      </c>
      <c r="F8">
        <v>5</v>
      </c>
      <c r="G8">
        <v>13</v>
      </c>
    </row>
    <row r="9" spans="1:7" x14ac:dyDescent="0.35">
      <c r="A9" s="1" t="s">
        <v>14</v>
      </c>
      <c r="B9">
        <v>253</v>
      </c>
      <c r="C9">
        <v>33</v>
      </c>
      <c r="D9">
        <v>257</v>
      </c>
      <c r="E9">
        <v>9154</v>
      </c>
      <c r="F9">
        <v>4</v>
      </c>
      <c r="G9">
        <v>10</v>
      </c>
    </row>
    <row r="10" spans="1:7" x14ac:dyDescent="0.35">
      <c r="A10" s="1" t="s">
        <v>15</v>
      </c>
      <c r="B10">
        <v>1349</v>
      </c>
      <c r="C10">
        <v>19</v>
      </c>
      <c r="D10">
        <v>7313</v>
      </c>
      <c r="E10">
        <v>15340</v>
      </c>
      <c r="F10">
        <v>7</v>
      </c>
      <c r="G10">
        <v>8</v>
      </c>
    </row>
    <row r="11" spans="1:7" x14ac:dyDescent="0.35">
      <c r="A11" s="1" t="s">
        <v>16</v>
      </c>
      <c r="B11">
        <v>44</v>
      </c>
      <c r="C11">
        <v>6</v>
      </c>
      <c r="D11">
        <v>2750</v>
      </c>
      <c r="E11">
        <v>7311</v>
      </c>
      <c r="F11">
        <v>4</v>
      </c>
      <c r="G11">
        <v>8</v>
      </c>
    </row>
    <row r="12" spans="1:7" x14ac:dyDescent="0.35">
      <c r="A12" s="1" t="s">
        <v>76</v>
      </c>
      <c r="B12">
        <v>446</v>
      </c>
      <c r="C12">
        <v>185</v>
      </c>
      <c r="D12">
        <v>0</v>
      </c>
      <c r="E12">
        <v>18612</v>
      </c>
      <c r="F12">
        <v>9</v>
      </c>
      <c r="G12">
        <v>15</v>
      </c>
    </row>
    <row r="13" spans="1:7" x14ac:dyDescent="0.35">
      <c r="A13" s="1" t="s">
        <v>17</v>
      </c>
      <c r="B13">
        <v>991</v>
      </c>
      <c r="C13">
        <v>35</v>
      </c>
      <c r="D13">
        <v>0</v>
      </c>
      <c r="E13">
        <v>17625</v>
      </c>
      <c r="F13">
        <v>6</v>
      </c>
      <c r="G13">
        <v>20</v>
      </c>
    </row>
    <row r="14" spans="1:7" x14ac:dyDescent="0.35">
      <c r="A14" s="1" t="s">
        <v>18</v>
      </c>
      <c r="B14">
        <v>516</v>
      </c>
      <c r="C14">
        <v>74</v>
      </c>
      <c r="D14">
        <v>239</v>
      </c>
      <c r="E14">
        <v>54879</v>
      </c>
      <c r="F14">
        <v>29</v>
      </c>
      <c r="G14">
        <v>30</v>
      </c>
    </row>
    <row r="15" spans="1:7" x14ac:dyDescent="0.35">
      <c r="A15" s="1" t="s">
        <v>19</v>
      </c>
      <c r="B15">
        <v>931</v>
      </c>
      <c r="C15">
        <v>38</v>
      </c>
      <c r="D15">
        <v>0</v>
      </c>
      <c r="E15">
        <v>9195</v>
      </c>
      <c r="F15">
        <v>4</v>
      </c>
      <c r="G15">
        <v>9</v>
      </c>
    </row>
    <row r="16" spans="1:7" x14ac:dyDescent="0.35">
      <c r="A16" s="1" t="s">
        <v>20</v>
      </c>
      <c r="B16">
        <v>2371</v>
      </c>
      <c r="C16">
        <v>91</v>
      </c>
      <c r="D16">
        <v>0</v>
      </c>
      <c r="E16">
        <v>17602</v>
      </c>
      <c r="F16">
        <v>7</v>
      </c>
      <c r="G16">
        <v>14</v>
      </c>
    </row>
    <row r="17" spans="1:7" x14ac:dyDescent="0.35">
      <c r="A17" s="1" t="s">
        <v>90</v>
      </c>
      <c r="B17">
        <v>1341</v>
      </c>
      <c r="C17">
        <v>115</v>
      </c>
      <c r="D17">
        <v>0</v>
      </c>
      <c r="E17">
        <v>17404</v>
      </c>
      <c r="F17">
        <v>12</v>
      </c>
      <c r="G17">
        <v>13</v>
      </c>
    </row>
    <row r="18" spans="1:7" x14ac:dyDescent="0.35">
      <c r="A18" s="1" t="s">
        <v>21</v>
      </c>
      <c r="B18">
        <v>7427</v>
      </c>
      <c r="C18">
        <v>15</v>
      </c>
      <c r="D18">
        <v>4396</v>
      </c>
      <c r="E18">
        <v>23951</v>
      </c>
      <c r="F18">
        <v>9</v>
      </c>
      <c r="G18">
        <v>12</v>
      </c>
    </row>
    <row r="19" spans="1:7" x14ac:dyDescent="0.35">
      <c r="A19" s="1" t="s">
        <v>22</v>
      </c>
      <c r="B19">
        <v>11321</v>
      </c>
      <c r="C19">
        <v>76</v>
      </c>
      <c r="D19">
        <v>6293</v>
      </c>
      <c r="E19">
        <v>73739</v>
      </c>
      <c r="F19">
        <v>23</v>
      </c>
      <c r="G19">
        <v>33</v>
      </c>
    </row>
    <row r="20" spans="1:7" x14ac:dyDescent="0.35">
      <c r="A20" s="1" t="s">
        <v>23</v>
      </c>
      <c r="B20">
        <v>0</v>
      </c>
      <c r="C20">
        <v>13</v>
      </c>
      <c r="D20">
        <v>0</v>
      </c>
      <c r="E20">
        <v>4067</v>
      </c>
      <c r="F20">
        <v>2</v>
      </c>
      <c r="G20">
        <v>4</v>
      </c>
    </row>
    <row r="21" spans="1:7" x14ac:dyDescent="0.35">
      <c r="A21" s="1" t="s">
        <v>84</v>
      </c>
      <c r="B21">
        <v>4776</v>
      </c>
      <c r="C21">
        <v>32</v>
      </c>
      <c r="D21">
        <v>0</v>
      </c>
      <c r="E21">
        <v>16573</v>
      </c>
      <c r="F21">
        <v>3</v>
      </c>
      <c r="G21">
        <v>8</v>
      </c>
    </row>
    <row r="22" spans="1:7" x14ac:dyDescent="0.35">
      <c r="A22" s="1" t="s">
        <v>24</v>
      </c>
      <c r="B22">
        <v>4685</v>
      </c>
      <c r="C22">
        <v>14</v>
      </c>
      <c r="D22">
        <v>5877</v>
      </c>
      <c r="E22">
        <v>23349</v>
      </c>
      <c r="F22">
        <v>5</v>
      </c>
      <c r="G22">
        <v>11</v>
      </c>
    </row>
    <row r="23" spans="1:7" x14ac:dyDescent="0.35">
      <c r="A23" s="1" t="s">
        <v>25</v>
      </c>
      <c r="B23">
        <v>1231</v>
      </c>
      <c r="C23">
        <v>36</v>
      </c>
      <c r="D23">
        <v>0</v>
      </c>
      <c r="E23">
        <v>13691</v>
      </c>
      <c r="F23">
        <v>7</v>
      </c>
      <c r="G23">
        <v>17</v>
      </c>
    </row>
    <row r="24" spans="1:7" x14ac:dyDescent="0.35">
      <c r="A24" s="1" t="s">
        <v>26</v>
      </c>
      <c r="B24">
        <v>57</v>
      </c>
      <c r="C24">
        <v>6</v>
      </c>
      <c r="D24">
        <v>3349</v>
      </c>
      <c r="E24">
        <v>7254</v>
      </c>
      <c r="F24">
        <v>1</v>
      </c>
      <c r="G24">
        <v>4</v>
      </c>
    </row>
    <row r="25" spans="1:7" x14ac:dyDescent="0.35">
      <c r="A25" s="1" t="s">
        <v>27</v>
      </c>
      <c r="B25">
        <v>775</v>
      </c>
      <c r="C25">
        <v>19</v>
      </c>
      <c r="D25">
        <v>0</v>
      </c>
      <c r="E25">
        <v>13724</v>
      </c>
      <c r="F25">
        <v>3</v>
      </c>
      <c r="G25">
        <v>7</v>
      </c>
    </row>
    <row r="26" spans="1:7" x14ac:dyDescent="0.35">
      <c r="A26" s="1" t="s">
        <v>28</v>
      </c>
      <c r="B26">
        <v>10580</v>
      </c>
      <c r="C26">
        <v>29</v>
      </c>
      <c r="D26">
        <v>5109</v>
      </c>
      <c r="E26">
        <v>41750</v>
      </c>
      <c r="F26">
        <v>10</v>
      </c>
      <c r="G26">
        <v>17</v>
      </c>
    </row>
    <row r="27" spans="1:7" x14ac:dyDescent="0.35">
      <c r="A27" s="1" t="s">
        <v>29</v>
      </c>
      <c r="B27">
        <v>1384</v>
      </c>
      <c r="C27">
        <v>102</v>
      </c>
      <c r="D27">
        <v>0</v>
      </c>
      <c r="E27">
        <v>17509</v>
      </c>
      <c r="F27">
        <v>9</v>
      </c>
      <c r="G27">
        <v>15</v>
      </c>
    </row>
    <row r="28" spans="1:7" x14ac:dyDescent="0.35">
      <c r="A28" s="1" t="s">
        <v>30</v>
      </c>
      <c r="B28">
        <v>7</v>
      </c>
      <c r="C28">
        <v>46</v>
      </c>
      <c r="D28">
        <v>126</v>
      </c>
      <c r="E28">
        <v>26492</v>
      </c>
      <c r="F28">
        <v>13</v>
      </c>
      <c r="G28">
        <v>13</v>
      </c>
    </row>
    <row r="29" spans="1:7" x14ac:dyDescent="0.35">
      <c r="A29" s="1" t="s">
        <v>31</v>
      </c>
      <c r="B29">
        <v>0</v>
      </c>
      <c r="C29">
        <v>56</v>
      </c>
      <c r="D29">
        <v>5</v>
      </c>
      <c r="E29">
        <v>7356</v>
      </c>
      <c r="F29">
        <v>4</v>
      </c>
      <c r="G29">
        <v>8</v>
      </c>
    </row>
    <row r="30" spans="1:7" x14ac:dyDescent="0.35">
      <c r="A30" s="1" t="s">
        <v>32</v>
      </c>
      <c r="B30">
        <v>1674</v>
      </c>
      <c r="C30">
        <v>58</v>
      </c>
      <c r="D30">
        <v>0</v>
      </c>
      <c r="E30">
        <v>18787</v>
      </c>
      <c r="F30">
        <v>8</v>
      </c>
      <c r="G30">
        <v>9</v>
      </c>
    </row>
    <row r="31" spans="1:7" x14ac:dyDescent="0.35">
      <c r="A31" s="1" t="s">
        <v>33</v>
      </c>
      <c r="B31">
        <v>13137</v>
      </c>
      <c r="C31">
        <v>42</v>
      </c>
      <c r="D31">
        <v>79317</v>
      </c>
      <c r="E31">
        <v>46227</v>
      </c>
      <c r="F31">
        <v>10</v>
      </c>
      <c r="G31">
        <v>16</v>
      </c>
    </row>
    <row r="32" spans="1:7" x14ac:dyDescent="0.35">
      <c r="A32" s="1" t="s">
        <v>34</v>
      </c>
      <c r="B32">
        <v>559</v>
      </c>
      <c r="C32">
        <v>22</v>
      </c>
      <c r="D32">
        <v>0</v>
      </c>
      <c r="E32">
        <v>3687</v>
      </c>
      <c r="F32">
        <v>2</v>
      </c>
      <c r="G32">
        <v>7</v>
      </c>
    </row>
    <row r="33" spans="1:7" x14ac:dyDescent="0.35">
      <c r="A33" s="1" t="s">
        <v>35</v>
      </c>
      <c r="B33">
        <v>0</v>
      </c>
      <c r="C33">
        <v>21</v>
      </c>
      <c r="D33">
        <v>0</v>
      </c>
      <c r="E33">
        <v>6751</v>
      </c>
      <c r="F33">
        <v>3</v>
      </c>
      <c r="G33">
        <v>7</v>
      </c>
    </row>
    <row r="34" spans="1:7" x14ac:dyDescent="0.35">
      <c r="A34" s="1" t="s">
        <v>74</v>
      </c>
      <c r="B34">
        <v>297</v>
      </c>
      <c r="C34">
        <v>47</v>
      </c>
      <c r="D34">
        <v>0</v>
      </c>
      <c r="E34">
        <v>8037</v>
      </c>
      <c r="F34">
        <v>5</v>
      </c>
      <c r="G34">
        <v>13</v>
      </c>
    </row>
    <row r="35" spans="1:7" x14ac:dyDescent="0.35">
      <c r="A35" s="1" t="s">
        <v>85</v>
      </c>
      <c r="B35">
        <v>4975</v>
      </c>
      <c r="C35">
        <v>28</v>
      </c>
      <c r="D35">
        <v>4671</v>
      </c>
      <c r="E35">
        <v>38760</v>
      </c>
      <c r="F35">
        <v>15</v>
      </c>
      <c r="G35">
        <v>12</v>
      </c>
    </row>
    <row r="36" spans="1:7" x14ac:dyDescent="0.35">
      <c r="A36" s="1" t="s">
        <v>92</v>
      </c>
      <c r="B36">
        <v>0</v>
      </c>
      <c r="C36">
        <v>29</v>
      </c>
      <c r="D36">
        <v>0</v>
      </c>
      <c r="E36">
        <v>5503</v>
      </c>
      <c r="F36">
        <v>3</v>
      </c>
      <c r="G36">
        <v>6</v>
      </c>
    </row>
    <row r="37" spans="1:7" x14ac:dyDescent="0.35">
      <c r="A37" s="1" t="s">
        <v>36</v>
      </c>
      <c r="B37">
        <v>1076</v>
      </c>
      <c r="C37">
        <v>46</v>
      </c>
      <c r="D37">
        <v>0</v>
      </c>
      <c r="E37">
        <v>25383</v>
      </c>
      <c r="F37">
        <v>6</v>
      </c>
      <c r="G37">
        <v>11</v>
      </c>
    </row>
    <row r="38" spans="1:7" x14ac:dyDescent="0.35">
      <c r="A38" s="1" t="s">
        <v>37</v>
      </c>
      <c r="B38">
        <v>3010</v>
      </c>
      <c r="C38">
        <v>140</v>
      </c>
      <c r="D38">
        <v>0</v>
      </c>
      <c r="E38">
        <v>36574</v>
      </c>
      <c r="F38">
        <v>16</v>
      </c>
      <c r="G38">
        <v>13</v>
      </c>
    </row>
    <row r="39" spans="1:7" x14ac:dyDescent="0.35">
      <c r="A39" s="1" t="s">
        <v>75</v>
      </c>
      <c r="B39">
        <v>170</v>
      </c>
      <c r="C39">
        <v>80</v>
      </c>
      <c r="D39">
        <v>0</v>
      </c>
      <c r="E39">
        <v>10559</v>
      </c>
      <c r="F39">
        <v>7</v>
      </c>
      <c r="G39">
        <v>14</v>
      </c>
    </row>
    <row r="40" spans="1:7" x14ac:dyDescent="0.35">
      <c r="A40" s="1" t="s">
        <v>38</v>
      </c>
      <c r="B40">
        <v>901</v>
      </c>
      <c r="C40">
        <v>54</v>
      </c>
      <c r="D40">
        <v>0</v>
      </c>
      <c r="E40">
        <v>14660</v>
      </c>
      <c r="F40">
        <v>9</v>
      </c>
      <c r="G40">
        <v>12</v>
      </c>
    </row>
    <row r="41" spans="1:7" x14ac:dyDescent="0.35">
      <c r="A41" s="1" t="s">
        <v>93</v>
      </c>
      <c r="B41">
        <v>6117</v>
      </c>
      <c r="C41">
        <v>16</v>
      </c>
      <c r="D41">
        <v>3839</v>
      </c>
      <c r="E41">
        <v>19738</v>
      </c>
      <c r="F41">
        <v>8</v>
      </c>
      <c r="G41">
        <v>8</v>
      </c>
    </row>
    <row r="42" spans="1:7" x14ac:dyDescent="0.35">
      <c r="A42" s="1" t="s">
        <v>91</v>
      </c>
      <c r="B42">
        <v>35</v>
      </c>
      <c r="C42">
        <v>19</v>
      </c>
      <c r="D42">
        <v>1</v>
      </c>
      <c r="E42">
        <v>5832</v>
      </c>
      <c r="F42">
        <v>1</v>
      </c>
      <c r="G42">
        <v>5</v>
      </c>
    </row>
    <row r="43" spans="1:7" x14ac:dyDescent="0.35">
      <c r="A43" s="1" t="s">
        <v>39</v>
      </c>
      <c r="B43">
        <v>1024</v>
      </c>
      <c r="C43">
        <v>25</v>
      </c>
      <c r="D43">
        <v>1405</v>
      </c>
      <c r="E43">
        <v>13199</v>
      </c>
      <c r="F43">
        <v>3</v>
      </c>
      <c r="G43">
        <v>8</v>
      </c>
    </row>
    <row r="44" spans="1:7" x14ac:dyDescent="0.35">
      <c r="A44" s="1" t="s">
        <v>40</v>
      </c>
      <c r="B44">
        <v>5702</v>
      </c>
      <c r="C44">
        <v>16</v>
      </c>
      <c r="D44">
        <v>2821</v>
      </c>
      <c r="E44">
        <v>23015</v>
      </c>
      <c r="F44">
        <v>3</v>
      </c>
      <c r="G44">
        <v>15</v>
      </c>
    </row>
    <row r="45" spans="1:7" x14ac:dyDescent="0.35">
      <c r="A45" s="1" t="s">
        <v>41</v>
      </c>
      <c r="B45">
        <v>0</v>
      </c>
      <c r="C45">
        <v>49</v>
      </c>
      <c r="D45">
        <v>0</v>
      </c>
      <c r="E45">
        <v>5379</v>
      </c>
      <c r="F45">
        <v>4</v>
      </c>
      <c r="G45">
        <v>21</v>
      </c>
    </row>
    <row r="46" spans="1:7" x14ac:dyDescent="0.35">
      <c r="A46" s="1" t="s">
        <v>42</v>
      </c>
      <c r="B46">
        <v>1</v>
      </c>
      <c r="C46">
        <v>34</v>
      </c>
      <c r="D46">
        <v>0</v>
      </c>
      <c r="E46">
        <v>15628</v>
      </c>
      <c r="F46">
        <v>10</v>
      </c>
      <c r="G46">
        <v>24</v>
      </c>
    </row>
    <row r="47" spans="1:7" x14ac:dyDescent="0.35">
      <c r="A47" s="1" t="s">
        <v>43</v>
      </c>
      <c r="B47">
        <v>913</v>
      </c>
      <c r="C47">
        <v>110</v>
      </c>
      <c r="D47">
        <v>0</v>
      </c>
      <c r="E47">
        <v>24446</v>
      </c>
      <c r="F47">
        <v>13</v>
      </c>
      <c r="G47">
        <v>30</v>
      </c>
    </row>
    <row r="48" spans="1:7" x14ac:dyDescent="0.35">
      <c r="A48" s="1" t="s">
        <v>44</v>
      </c>
      <c r="B48">
        <v>0</v>
      </c>
      <c r="C48">
        <v>20</v>
      </c>
      <c r="D48">
        <v>0</v>
      </c>
      <c r="E48">
        <v>15029</v>
      </c>
      <c r="F48">
        <v>5</v>
      </c>
      <c r="G48">
        <v>10</v>
      </c>
    </row>
    <row r="49" spans="1:7" x14ac:dyDescent="0.35">
      <c r="A49" s="1" t="s">
        <v>45</v>
      </c>
      <c r="B49">
        <v>315</v>
      </c>
      <c r="C49">
        <v>19</v>
      </c>
      <c r="D49">
        <v>0</v>
      </c>
      <c r="E49">
        <v>9757</v>
      </c>
      <c r="F49">
        <v>3</v>
      </c>
      <c r="G49">
        <v>9</v>
      </c>
    </row>
    <row r="50" spans="1:7" x14ac:dyDescent="0.35">
      <c r="A50" s="1" t="s">
        <v>46</v>
      </c>
      <c r="B50">
        <v>1382</v>
      </c>
      <c r="C50">
        <v>101</v>
      </c>
      <c r="D50">
        <v>0</v>
      </c>
      <c r="E50">
        <v>16225</v>
      </c>
      <c r="F50">
        <v>10</v>
      </c>
      <c r="G50">
        <v>12</v>
      </c>
    </row>
    <row r="51" spans="1:7" x14ac:dyDescent="0.35">
      <c r="A51" s="1" t="s">
        <v>47</v>
      </c>
      <c r="B51">
        <v>830</v>
      </c>
      <c r="C51">
        <v>17</v>
      </c>
      <c r="D51">
        <v>0</v>
      </c>
      <c r="E51">
        <v>13674</v>
      </c>
      <c r="F51">
        <v>7</v>
      </c>
      <c r="G51">
        <v>10</v>
      </c>
    </row>
    <row r="52" spans="1:7" x14ac:dyDescent="0.35">
      <c r="A52" s="1" t="s">
        <v>48</v>
      </c>
      <c r="B52">
        <v>1</v>
      </c>
      <c r="C52">
        <v>40</v>
      </c>
      <c r="D52">
        <v>0</v>
      </c>
      <c r="E52">
        <v>20639</v>
      </c>
      <c r="F52">
        <v>7</v>
      </c>
      <c r="G52">
        <v>19</v>
      </c>
    </row>
    <row r="53" spans="1:7" x14ac:dyDescent="0.35">
      <c r="A53" s="1" t="s">
        <v>49</v>
      </c>
      <c r="B53">
        <v>372</v>
      </c>
      <c r="C53">
        <v>45</v>
      </c>
      <c r="D53">
        <v>0</v>
      </c>
      <c r="E53">
        <v>9625</v>
      </c>
      <c r="F53">
        <v>2</v>
      </c>
      <c r="G53">
        <v>12</v>
      </c>
    </row>
    <row r="54" spans="1:7" x14ac:dyDescent="0.35">
      <c r="A54" s="1" t="s">
        <v>50</v>
      </c>
      <c r="B54">
        <v>2102</v>
      </c>
      <c r="C54">
        <v>159</v>
      </c>
      <c r="D54">
        <v>0</v>
      </c>
      <c r="E54">
        <v>54911</v>
      </c>
      <c r="F54">
        <v>30</v>
      </c>
      <c r="G54">
        <v>31</v>
      </c>
    </row>
    <row r="55" spans="1:7" x14ac:dyDescent="0.35">
      <c r="A55" s="1" t="s">
        <v>51</v>
      </c>
      <c r="B55">
        <v>1</v>
      </c>
      <c r="C55">
        <v>20</v>
      </c>
      <c r="D55">
        <v>342</v>
      </c>
      <c r="E55">
        <v>11920</v>
      </c>
      <c r="F55">
        <v>6</v>
      </c>
      <c r="G55">
        <v>8</v>
      </c>
    </row>
    <row r="56" spans="1:7" x14ac:dyDescent="0.35">
      <c r="A56" s="1" t="s">
        <v>52</v>
      </c>
      <c r="B56">
        <v>3631</v>
      </c>
      <c r="C56">
        <v>179</v>
      </c>
      <c r="D56">
        <v>78</v>
      </c>
      <c r="E56">
        <v>48187</v>
      </c>
      <c r="F56">
        <v>25</v>
      </c>
      <c r="G56">
        <v>44</v>
      </c>
    </row>
    <row r="57" spans="1:7" x14ac:dyDescent="0.35">
      <c r="A57" s="1" t="s">
        <v>53</v>
      </c>
      <c r="B57">
        <v>435</v>
      </c>
      <c r="C57">
        <v>73</v>
      </c>
      <c r="D57">
        <v>0</v>
      </c>
      <c r="E57">
        <v>14920</v>
      </c>
      <c r="F57">
        <v>6</v>
      </c>
      <c r="G57">
        <v>19</v>
      </c>
    </row>
    <row r="58" spans="1:7" x14ac:dyDescent="0.35">
      <c r="A58" s="1" t="s">
        <v>86</v>
      </c>
      <c r="B58">
        <v>6740</v>
      </c>
      <c r="C58">
        <v>244</v>
      </c>
      <c r="D58">
        <v>0</v>
      </c>
      <c r="E58">
        <v>60597</v>
      </c>
      <c r="F58">
        <v>19</v>
      </c>
      <c r="G58">
        <v>48</v>
      </c>
    </row>
    <row r="59" spans="1:7" x14ac:dyDescent="0.35">
      <c r="A59" s="1" t="s">
        <v>54</v>
      </c>
      <c r="B59">
        <v>1536</v>
      </c>
      <c r="C59">
        <v>47</v>
      </c>
      <c r="D59">
        <v>0</v>
      </c>
      <c r="E59">
        <v>12739</v>
      </c>
      <c r="F59">
        <v>6</v>
      </c>
      <c r="G59">
        <v>14</v>
      </c>
    </row>
    <row r="60" spans="1:7" x14ac:dyDescent="0.35">
      <c r="A60" s="1" t="s">
        <v>77</v>
      </c>
      <c r="B60">
        <v>0</v>
      </c>
      <c r="C60">
        <v>22</v>
      </c>
      <c r="D60">
        <v>0</v>
      </c>
      <c r="E60">
        <v>4859</v>
      </c>
      <c r="F60">
        <v>2</v>
      </c>
      <c r="G60">
        <v>11</v>
      </c>
    </row>
    <row r="61" spans="1:7" x14ac:dyDescent="0.35">
      <c r="A61" s="1" t="s">
        <v>78</v>
      </c>
      <c r="B61">
        <v>0</v>
      </c>
      <c r="C61">
        <v>266</v>
      </c>
      <c r="D61">
        <v>27</v>
      </c>
      <c r="E61">
        <v>68630</v>
      </c>
      <c r="F61">
        <v>33</v>
      </c>
      <c r="G61">
        <v>65</v>
      </c>
    </row>
    <row r="62" spans="1:7" x14ac:dyDescent="0.35">
      <c r="A62" s="1" t="s">
        <v>70</v>
      </c>
      <c r="B62">
        <v>3757</v>
      </c>
      <c r="C62">
        <v>12</v>
      </c>
      <c r="D62">
        <v>14853</v>
      </c>
      <c r="E62">
        <v>8020</v>
      </c>
      <c r="F62">
        <v>4</v>
      </c>
      <c r="G62">
        <v>5</v>
      </c>
    </row>
    <row r="63" spans="1:7" x14ac:dyDescent="0.35">
      <c r="A63" s="1" t="s">
        <v>79</v>
      </c>
      <c r="B63">
        <v>37329</v>
      </c>
      <c r="C63">
        <v>105</v>
      </c>
      <c r="D63">
        <v>18389</v>
      </c>
      <c r="E63">
        <v>97502</v>
      </c>
      <c r="F63">
        <v>32</v>
      </c>
      <c r="G63">
        <v>49</v>
      </c>
    </row>
    <row r="64" spans="1:7" x14ac:dyDescent="0.35">
      <c r="A64" s="1" t="s">
        <v>80</v>
      </c>
      <c r="B64">
        <v>379</v>
      </c>
      <c r="C64">
        <v>14</v>
      </c>
      <c r="D64">
        <v>0</v>
      </c>
      <c r="E64">
        <v>3988</v>
      </c>
      <c r="F64">
        <v>2</v>
      </c>
      <c r="G64">
        <v>6</v>
      </c>
    </row>
    <row r="65" spans="1:7" x14ac:dyDescent="0.35">
      <c r="A65" s="1" t="s">
        <v>89</v>
      </c>
      <c r="B65">
        <v>4345</v>
      </c>
      <c r="C65">
        <v>6</v>
      </c>
      <c r="D65">
        <v>20871</v>
      </c>
      <c r="E65">
        <v>11428</v>
      </c>
      <c r="F65">
        <v>4</v>
      </c>
      <c r="G65">
        <v>4</v>
      </c>
    </row>
    <row r="66" spans="1:7" x14ac:dyDescent="0.35">
      <c r="A66" s="1" t="s">
        <v>72</v>
      </c>
      <c r="B66">
        <v>7511</v>
      </c>
      <c r="C66">
        <v>15</v>
      </c>
      <c r="D66">
        <v>34745</v>
      </c>
      <c r="E66">
        <v>18966</v>
      </c>
      <c r="F66">
        <v>4</v>
      </c>
      <c r="G66">
        <v>6</v>
      </c>
    </row>
    <row r="67" spans="1:7" x14ac:dyDescent="0.35">
      <c r="A67" s="1" t="s">
        <v>81</v>
      </c>
      <c r="B67">
        <v>1665</v>
      </c>
      <c r="C67">
        <v>100</v>
      </c>
      <c r="D67">
        <v>61</v>
      </c>
      <c r="E67">
        <v>38561</v>
      </c>
      <c r="F67">
        <v>16</v>
      </c>
      <c r="G67">
        <v>30</v>
      </c>
    </row>
    <row r="68" spans="1:7" x14ac:dyDescent="0.35">
      <c r="A68" s="1" t="s">
        <v>82</v>
      </c>
      <c r="B68">
        <v>4876</v>
      </c>
      <c r="C68">
        <v>18</v>
      </c>
      <c r="D68">
        <v>5806</v>
      </c>
      <c r="E68">
        <v>22524</v>
      </c>
      <c r="F68">
        <v>6</v>
      </c>
      <c r="G68">
        <v>13</v>
      </c>
    </row>
    <row r="69" spans="1:7" x14ac:dyDescent="0.35">
      <c r="A69" s="1" t="s">
        <v>83</v>
      </c>
      <c r="B69">
        <v>0</v>
      </c>
      <c r="C69">
        <v>16</v>
      </c>
      <c r="D69">
        <v>1729</v>
      </c>
      <c r="E69">
        <v>13288</v>
      </c>
      <c r="F69">
        <v>8</v>
      </c>
      <c r="G69">
        <v>13</v>
      </c>
    </row>
    <row r="70" spans="1:7" x14ac:dyDescent="0.35">
      <c r="A70" s="1" t="s">
        <v>87</v>
      </c>
      <c r="B70">
        <v>1563</v>
      </c>
      <c r="C70">
        <v>82</v>
      </c>
      <c r="D70">
        <v>0</v>
      </c>
      <c r="E70">
        <v>30107</v>
      </c>
      <c r="F70">
        <v>9</v>
      </c>
      <c r="G70">
        <v>28</v>
      </c>
    </row>
    <row r="71" spans="1:7" x14ac:dyDescent="0.35">
      <c r="A71" s="1" t="s">
        <v>73</v>
      </c>
      <c r="B71">
        <v>167</v>
      </c>
      <c r="C71">
        <v>17</v>
      </c>
      <c r="D71">
        <v>3891</v>
      </c>
      <c r="E71">
        <v>15168</v>
      </c>
      <c r="F71">
        <v>7</v>
      </c>
      <c r="G71">
        <v>20</v>
      </c>
    </row>
    <row r="72" spans="1:7" x14ac:dyDescent="0.35">
      <c r="A72" s="1" t="s">
        <v>55</v>
      </c>
      <c r="B72">
        <v>0</v>
      </c>
      <c r="C72">
        <v>124</v>
      </c>
      <c r="D72">
        <v>0</v>
      </c>
      <c r="E72">
        <v>28337</v>
      </c>
      <c r="F72">
        <v>13</v>
      </c>
      <c r="G72">
        <v>29</v>
      </c>
    </row>
    <row r="73" spans="1:7" x14ac:dyDescent="0.35">
      <c r="A73" s="1" t="s">
        <v>56</v>
      </c>
      <c r="B73">
        <v>0</v>
      </c>
      <c r="C73">
        <v>18</v>
      </c>
      <c r="D73">
        <v>0</v>
      </c>
      <c r="E73">
        <v>7756</v>
      </c>
      <c r="F73">
        <v>4</v>
      </c>
      <c r="G73">
        <v>7</v>
      </c>
    </row>
    <row r="74" spans="1:7" x14ac:dyDescent="0.35">
      <c r="A74" s="1" t="s">
        <v>57</v>
      </c>
      <c r="B74">
        <v>802</v>
      </c>
      <c r="C74">
        <v>96</v>
      </c>
      <c r="D74">
        <v>0</v>
      </c>
      <c r="E74">
        <v>25383</v>
      </c>
      <c r="F74">
        <v>14</v>
      </c>
      <c r="G74">
        <v>17</v>
      </c>
    </row>
    <row r="75" spans="1:7" x14ac:dyDescent="0.35">
      <c r="A75" s="1" t="s">
        <v>58</v>
      </c>
      <c r="B75">
        <v>219</v>
      </c>
      <c r="C75">
        <v>96</v>
      </c>
      <c r="D75">
        <v>0</v>
      </c>
      <c r="E75">
        <v>15781</v>
      </c>
      <c r="F75">
        <v>11</v>
      </c>
      <c r="G75">
        <v>8</v>
      </c>
    </row>
    <row r="76" spans="1:7" x14ac:dyDescent="0.35">
      <c r="A76" s="1" t="s">
        <v>59</v>
      </c>
      <c r="B76">
        <v>0</v>
      </c>
      <c r="C76">
        <v>31</v>
      </c>
      <c r="D76">
        <v>0</v>
      </c>
      <c r="E76">
        <v>7311</v>
      </c>
      <c r="F76">
        <v>4</v>
      </c>
      <c r="G76">
        <v>5</v>
      </c>
    </row>
    <row r="77" spans="1:7" x14ac:dyDescent="0.35">
      <c r="A77" s="1" t="s">
        <v>60</v>
      </c>
      <c r="B77">
        <v>6993</v>
      </c>
      <c r="C77">
        <v>17</v>
      </c>
      <c r="D77">
        <v>2878</v>
      </c>
      <c r="E77">
        <v>20428</v>
      </c>
      <c r="F77">
        <v>3</v>
      </c>
      <c r="G77">
        <v>11</v>
      </c>
    </row>
    <row r="78" spans="1:7" x14ac:dyDescent="0.35">
      <c r="A78" s="1" t="s">
        <v>61</v>
      </c>
      <c r="B78">
        <v>356</v>
      </c>
      <c r="C78">
        <v>46</v>
      </c>
      <c r="D78">
        <v>11</v>
      </c>
      <c r="E78">
        <v>9107</v>
      </c>
      <c r="F78">
        <v>5</v>
      </c>
      <c r="G78">
        <v>28</v>
      </c>
    </row>
    <row r="79" spans="1:7" x14ac:dyDescent="0.35">
      <c r="A79" s="1" t="s">
        <v>62</v>
      </c>
      <c r="B79">
        <v>0</v>
      </c>
      <c r="C79">
        <v>157</v>
      </c>
      <c r="D79">
        <v>0</v>
      </c>
      <c r="E79">
        <v>29567</v>
      </c>
      <c r="F79">
        <v>14</v>
      </c>
      <c r="G79">
        <v>22</v>
      </c>
    </row>
    <row r="80" spans="1:7" x14ac:dyDescent="0.35">
      <c r="A80" s="1" t="s">
        <v>63</v>
      </c>
      <c r="B80">
        <v>162</v>
      </c>
      <c r="C80">
        <v>33</v>
      </c>
      <c r="D80">
        <v>0</v>
      </c>
      <c r="E80">
        <v>3760</v>
      </c>
      <c r="F80">
        <v>1</v>
      </c>
      <c r="G80">
        <v>15</v>
      </c>
    </row>
    <row r="81" spans="1:7" x14ac:dyDescent="0.35">
      <c r="A81" s="1" t="s">
        <v>64</v>
      </c>
      <c r="B81">
        <v>2</v>
      </c>
      <c r="C81">
        <v>132</v>
      </c>
      <c r="D81">
        <v>744</v>
      </c>
      <c r="E81">
        <v>20898</v>
      </c>
      <c r="F81">
        <v>13</v>
      </c>
      <c r="G81">
        <v>28</v>
      </c>
    </row>
    <row r="82" spans="1:7" x14ac:dyDescent="0.35">
      <c r="A82" s="1" t="s">
        <v>88</v>
      </c>
      <c r="B82">
        <v>5154</v>
      </c>
      <c r="C82">
        <v>18</v>
      </c>
      <c r="D82">
        <v>2956</v>
      </c>
      <c r="E82">
        <v>20972</v>
      </c>
      <c r="F82">
        <v>2</v>
      </c>
      <c r="G82">
        <v>10</v>
      </c>
    </row>
    <row r="83" spans="1:7" x14ac:dyDescent="0.35">
      <c r="A83" s="1" t="s">
        <v>65</v>
      </c>
      <c r="B83">
        <v>0</v>
      </c>
      <c r="C83">
        <v>20</v>
      </c>
      <c r="D83">
        <v>0</v>
      </c>
      <c r="E83">
        <v>4332</v>
      </c>
      <c r="F83">
        <v>3</v>
      </c>
      <c r="G83">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G83"/>
  <sheetViews>
    <sheetView workbookViewId="0">
      <selection activeCell="K30" sqref="K30"/>
    </sheetView>
  </sheetViews>
  <sheetFormatPr defaultRowHeight="14.5" x14ac:dyDescent="0.35"/>
  <cols>
    <col min="1" max="1" width="20.36328125" bestFit="1" customWidth="1"/>
    <col min="2" max="7" width="11.81640625" bestFit="1" customWidth="1"/>
  </cols>
  <sheetData>
    <row r="1" spans="1:7" x14ac:dyDescent="0.35">
      <c r="A1" s="1" t="s">
        <v>6</v>
      </c>
      <c r="B1" s="1" t="s">
        <v>0</v>
      </c>
      <c r="C1" s="1" t="s">
        <v>1</v>
      </c>
      <c r="D1" s="1" t="s">
        <v>2</v>
      </c>
      <c r="E1" s="1" t="s">
        <v>3</v>
      </c>
      <c r="F1" s="1" t="s">
        <v>4</v>
      </c>
      <c r="G1" s="1" t="s">
        <v>5</v>
      </c>
    </row>
    <row r="2" spans="1:7" x14ac:dyDescent="0.35">
      <c r="A2" s="1" t="s">
        <v>7</v>
      </c>
      <c r="B2">
        <v>5.8538461538461001E-3</v>
      </c>
      <c r="C2">
        <v>1.2623255813953399E-2</v>
      </c>
      <c r="D2">
        <v>0</v>
      </c>
      <c r="E2">
        <v>2.5723398890569E-3</v>
      </c>
      <c r="F2">
        <v>1.5733333333333301E-2</v>
      </c>
      <c r="G2">
        <v>2.8600000000000001E-3</v>
      </c>
    </row>
    <row r="3" spans="1:7" x14ac:dyDescent="0.35">
      <c r="A3" s="1" t="s">
        <v>8</v>
      </c>
      <c r="B3">
        <v>5.6874999999999998E-3</v>
      </c>
      <c r="C3">
        <v>1.44877192982456E-2</v>
      </c>
      <c r="D3">
        <v>0</v>
      </c>
      <c r="E3">
        <v>3.7337505538324999E-3</v>
      </c>
      <c r="F3">
        <v>3.9050000000000001E-2</v>
      </c>
      <c r="G3">
        <v>4.4250000000000001E-3</v>
      </c>
    </row>
    <row r="4" spans="1:7" x14ac:dyDescent="0.35">
      <c r="A4" s="1" t="s">
        <v>9</v>
      </c>
      <c r="B4">
        <v>9.2364583333332997E-3</v>
      </c>
      <c r="C4">
        <v>1.6333018867924501E-2</v>
      </c>
      <c r="D4">
        <v>6.5666666666666E-3</v>
      </c>
      <c r="E4">
        <v>3.2682986922736002E-3</v>
      </c>
      <c r="F4">
        <v>3.9515624999999999E-2</v>
      </c>
      <c r="G4">
        <v>3.4073170731707E-3</v>
      </c>
    </row>
    <row r="5" spans="1:7" x14ac:dyDescent="0.35">
      <c r="A5" s="1" t="s">
        <v>10</v>
      </c>
      <c r="B5">
        <v>6.4826086956521001E-3</v>
      </c>
      <c r="C5">
        <v>1.9113636363636301E-2</v>
      </c>
      <c r="D5">
        <v>1.18E-2</v>
      </c>
      <c r="E5">
        <v>3.9215273649585002E-3</v>
      </c>
      <c r="F5">
        <v>3.8600000000000002E-2</v>
      </c>
      <c r="G5">
        <v>3.3124999999999999E-3</v>
      </c>
    </row>
    <row r="6" spans="1:7" x14ac:dyDescent="0.35">
      <c r="A6" s="1" t="s">
        <v>11</v>
      </c>
      <c r="B6">
        <v>0</v>
      </c>
      <c r="C6">
        <v>1.2185714285714201E-2</v>
      </c>
      <c r="D6">
        <v>0</v>
      </c>
      <c r="E6">
        <v>2.8073948681396998E-3</v>
      </c>
      <c r="F6">
        <v>4.0533333333333303E-2</v>
      </c>
      <c r="G6">
        <v>2.7000000000000001E-3</v>
      </c>
    </row>
    <row r="7" spans="1:7" x14ac:dyDescent="0.35">
      <c r="A7" s="1" t="s">
        <v>12</v>
      </c>
      <c r="B7">
        <v>6.5199999999999998E-3</v>
      </c>
      <c r="C7">
        <v>1.5339393939393899E-2</v>
      </c>
      <c r="E7">
        <v>3.6082548502541999E-3</v>
      </c>
      <c r="F7">
        <v>4.2728571428571401E-2</v>
      </c>
      <c r="G7">
        <v>3.47E-3</v>
      </c>
    </row>
    <row r="8" spans="1:7" x14ac:dyDescent="0.35">
      <c r="A8" s="1" t="s">
        <v>13</v>
      </c>
      <c r="B8">
        <v>7.3766666666666E-3</v>
      </c>
      <c r="C8">
        <v>1.5804166666666598E-2</v>
      </c>
      <c r="D8">
        <v>0</v>
      </c>
      <c r="E8">
        <v>3.5123954372622999E-3</v>
      </c>
      <c r="F8">
        <v>4.1079999999999998E-2</v>
      </c>
      <c r="G8">
        <v>3.8166666666666002E-3</v>
      </c>
    </row>
    <row r="9" spans="1:7" x14ac:dyDescent="0.35">
      <c r="A9" s="1" t="s">
        <v>14</v>
      </c>
      <c r="B9">
        <v>1.38249999999999E-2</v>
      </c>
      <c r="C9">
        <v>1.38E-2</v>
      </c>
      <c r="E9">
        <v>2.8223836574175001E-3</v>
      </c>
      <c r="F9">
        <v>3.3224999999999998E-2</v>
      </c>
      <c r="G9">
        <v>3.375E-3</v>
      </c>
    </row>
    <row r="10" spans="1:7" x14ac:dyDescent="0.35">
      <c r="A10" s="1" t="s">
        <v>15</v>
      </c>
      <c r="C10">
        <v>1.21368421052631E-2</v>
      </c>
      <c r="D10">
        <v>6.0000000000000001E-3</v>
      </c>
      <c r="E10">
        <v>3.2772946544980001E-3</v>
      </c>
      <c r="F10">
        <v>4.5871428571428501E-2</v>
      </c>
      <c r="G10">
        <v>3.075E-3</v>
      </c>
    </row>
    <row r="11" spans="1:7" x14ac:dyDescent="0.35">
      <c r="A11" s="1" t="s">
        <v>16</v>
      </c>
      <c r="B11">
        <v>1.1290909090909001E-2</v>
      </c>
      <c r="C11">
        <v>2.0016666666666599E-2</v>
      </c>
      <c r="D11">
        <v>1.18E-2</v>
      </c>
      <c r="E11">
        <v>3.9701272055805998E-3</v>
      </c>
      <c r="F11">
        <v>4.8575E-2</v>
      </c>
      <c r="G11">
        <v>3.6999999999999E-3</v>
      </c>
    </row>
    <row r="12" spans="1:7" x14ac:dyDescent="0.35">
      <c r="A12" s="1" t="s">
        <v>76</v>
      </c>
      <c r="B12">
        <v>6.6758620689655003E-3</v>
      </c>
      <c r="C12">
        <v>1.1127027027027E-2</v>
      </c>
      <c r="D12">
        <v>0</v>
      </c>
      <c r="E12">
        <v>3.3420642596174001E-3</v>
      </c>
      <c r="F12">
        <v>3.9099999999999899E-2</v>
      </c>
      <c r="G12">
        <v>3.5714285714285002E-3</v>
      </c>
    </row>
    <row r="13" spans="1:7" x14ac:dyDescent="0.35">
      <c r="A13" s="1" t="s">
        <v>17</v>
      </c>
      <c r="B13">
        <v>1.14986666666666E-2</v>
      </c>
      <c r="C13">
        <v>1.602E-2</v>
      </c>
      <c r="D13">
        <v>0</v>
      </c>
      <c r="E13">
        <v>2.6742468085106E-3</v>
      </c>
      <c r="F13">
        <v>4.6816666666666597E-2</v>
      </c>
      <c r="G13">
        <v>4.6049999999999997E-3</v>
      </c>
    </row>
    <row r="14" spans="1:7" x14ac:dyDescent="0.35">
      <c r="A14" s="1" t="s">
        <v>18</v>
      </c>
      <c r="B14">
        <v>9.6363636363635992E-3</v>
      </c>
      <c r="C14">
        <v>1.5224324324324299E-2</v>
      </c>
      <c r="E14">
        <v>3.1181125749375001E-3</v>
      </c>
      <c r="F14">
        <v>3.9341379310344801E-2</v>
      </c>
      <c r="G14">
        <v>3.0791666666665999E-3</v>
      </c>
    </row>
    <row r="15" spans="1:7" x14ac:dyDescent="0.35">
      <c r="A15" s="1" t="s">
        <v>19</v>
      </c>
      <c r="B15">
        <v>1.0639534883720899E-2</v>
      </c>
      <c r="C15">
        <v>1.37447368421052E-2</v>
      </c>
      <c r="D15">
        <v>0</v>
      </c>
      <c r="E15">
        <v>2.7917998912451998E-3</v>
      </c>
      <c r="F15">
        <v>3.5799999999999998E-2</v>
      </c>
      <c r="G15">
        <v>3.4444444444444002E-3</v>
      </c>
    </row>
    <row r="16" spans="1:7" x14ac:dyDescent="0.35">
      <c r="A16" s="1" t="s">
        <v>20</v>
      </c>
      <c r="B16">
        <v>6.6232558139534001E-3</v>
      </c>
      <c r="C16">
        <v>1.44780219780219E-2</v>
      </c>
      <c r="D16">
        <v>0</v>
      </c>
      <c r="E16">
        <v>3.7387455970912002E-3</v>
      </c>
      <c r="F16">
        <v>4.0471428571428499E-2</v>
      </c>
      <c r="G16">
        <v>4.3416666666665996E-3</v>
      </c>
    </row>
    <row r="17" spans="1:7" x14ac:dyDescent="0.35">
      <c r="A17" s="1" t="s">
        <v>90</v>
      </c>
      <c r="B17">
        <v>4.0840909090909001E-3</v>
      </c>
      <c r="C17">
        <v>1.0226086956521699E-2</v>
      </c>
      <c r="D17">
        <v>0</v>
      </c>
      <c r="E17">
        <v>2.9356642151229001E-3</v>
      </c>
      <c r="F17">
        <v>3.4866666666666601E-2</v>
      </c>
      <c r="G17">
        <v>2.5153846153845999E-3</v>
      </c>
    </row>
    <row r="18" spans="1:7" x14ac:dyDescent="0.35">
      <c r="A18" s="1" t="s">
        <v>21</v>
      </c>
      <c r="B18">
        <v>6.3117647058822998E-3</v>
      </c>
      <c r="C18">
        <v>1.75266666666666E-2</v>
      </c>
      <c r="D18">
        <v>1.14E-2</v>
      </c>
      <c r="E18">
        <v>3.7422571082627002E-3</v>
      </c>
      <c r="F18">
        <v>4.1455555555555502E-2</v>
      </c>
      <c r="G18">
        <v>3.15E-3</v>
      </c>
    </row>
    <row r="19" spans="1:7" x14ac:dyDescent="0.35">
      <c r="A19" s="1" t="s">
        <v>22</v>
      </c>
      <c r="B19">
        <v>7.8679245283018E-3</v>
      </c>
      <c r="C19">
        <v>1.8639473684210501E-2</v>
      </c>
      <c r="D19">
        <v>1.18E-2</v>
      </c>
      <c r="E19">
        <v>3.6805598123108999E-3</v>
      </c>
      <c r="F19">
        <v>3.9660869565217298E-2</v>
      </c>
      <c r="G19">
        <v>3.3090909090909E-3</v>
      </c>
    </row>
    <row r="20" spans="1:7" x14ac:dyDescent="0.35">
      <c r="A20" s="1" t="s">
        <v>23</v>
      </c>
      <c r="B20">
        <v>0</v>
      </c>
      <c r="C20">
        <v>1.22384615384615E-2</v>
      </c>
      <c r="D20">
        <v>0</v>
      </c>
      <c r="E20">
        <v>3.3820998278829002E-3</v>
      </c>
      <c r="F20">
        <v>4.8250000000000001E-2</v>
      </c>
      <c r="G20">
        <v>3.2666666666666001E-3</v>
      </c>
    </row>
    <row r="21" spans="1:7" x14ac:dyDescent="0.35">
      <c r="A21" s="1" t="s">
        <v>84</v>
      </c>
      <c r="B21">
        <v>7.4999999999999E-3</v>
      </c>
      <c r="C21">
        <v>1.3859375E-2</v>
      </c>
      <c r="D21">
        <v>0</v>
      </c>
      <c r="E21">
        <v>3.1871719061123001E-3</v>
      </c>
      <c r="F21">
        <v>4.6133333333333297E-2</v>
      </c>
      <c r="G21">
        <v>3.1666666666665998E-3</v>
      </c>
    </row>
    <row r="22" spans="1:7" x14ac:dyDescent="0.35">
      <c r="A22" s="1" t="s">
        <v>24</v>
      </c>
      <c r="B22">
        <v>8.2979999999999998E-3</v>
      </c>
      <c r="C22">
        <v>1.8828571428571399E-2</v>
      </c>
      <c r="D22">
        <v>1.2E-2</v>
      </c>
      <c r="E22">
        <v>3.8909075335132001E-3</v>
      </c>
      <c r="F22">
        <v>3.8919999999999899E-2</v>
      </c>
      <c r="G22">
        <v>3.3272727272727E-3</v>
      </c>
    </row>
    <row r="23" spans="1:7" x14ac:dyDescent="0.35">
      <c r="A23" s="1" t="s">
        <v>25</v>
      </c>
      <c r="B23">
        <v>8.4928571428571006E-3</v>
      </c>
      <c r="C23">
        <v>1.5883333333333301E-2</v>
      </c>
      <c r="D23">
        <v>0</v>
      </c>
      <c r="E23">
        <v>3.5063837557518999E-3</v>
      </c>
      <c r="F23">
        <v>4.4442857142857103E-2</v>
      </c>
      <c r="G23">
        <v>3.6666666666665998E-3</v>
      </c>
    </row>
    <row r="24" spans="1:7" x14ac:dyDescent="0.35">
      <c r="A24" s="1" t="s">
        <v>26</v>
      </c>
      <c r="C24">
        <v>1.6816666666666601E-2</v>
      </c>
      <c r="E24">
        <v>3.3636889991728001E-3</v>
      </c>
      <c r="F24">
        <v>1.6999999999999999E-3</v>
      </c>
      <c r="G24">
        <v>3.2499999999999999E-3</v>
      </c>
    </row>
    <row r="25" spans="1:7" x14ac:dyDescent="0.35">
      <c r="A25" s="1" t="s">
        <v>27</v>
      </c>
      <c r="B25">
        <v>1.273125E-2</v>
      </c>
      <c r="C25">
        <v>1.7631578947368401E-2</v>
      </c>
      <c r="D25">
        <v>0</v>
      </c>
      <c r="E25">
        <v>3.8735062663946E-3</v>
      </c>
      <c r="F25">
        <v>3.6399999999999898E-2</v>
      </c>
      <c r="G25">
        <v>3.8333333333333002E-3</v>
      </c>
    </row>
    <row r="26" spans="1:7" x14ac:dyDescent="0.35">
      <c r="A26" s="1" t="s">
        <v>28</v>
      </c>
      <c r="B26">
        <v>9.3529411764704997E-3</v>
      </c>
      <c r="C26">
        <v>1.70827586206896E-2</v>
      </c>
      <c r="D26">
        <v>1.1299999999999999E-2</v>
      </c>
      <c r="E26">
        <v>3.3819664670657998E-3</v>
      </c>
      <c r="F26">
        <v>3.7179999999999998E-2</v>
      </c>
      <c r="G26">
        <v>3.1235294117646999E-3</v>
      </c>
    </row>
    <row r="27" spans="1:7" x14ac:dyDescent="0.35">
      <c r="A27" s="1" t="s">
        <v>29</v>
      </c>
      <c r="B27">
        <v>7.1724137931033997E-3</v>
      </c>
      <c r="C27">
        <v>1.4428431372549001E-2</v>
      </c>
      <c r="D27">
        <v>0</v>
      </c>
      <c r="E27">
        <v>3.7969786966702002E-3</v>
      </c>
      <c r="F27">
        <v>4.0555555555555498E-2</v>
      </c>
      <c r="G27">
        <v>4.4733333333332997E-3</v>
      </c>
    </row>
    <row r="28" spans="1:7" x14ac:dyDescent="0.35">
      <c r="A28" s="1" t="s">
        <v>30</v>
      </c>
      <c r="C28">
        <v>1.40847826086956E-2</v>
      </c>
      <c r="D28">
        <v>3.2000000000000002E-3</v>
      </c>
      <c r="E28">
        <v>3.3396648044692E-3</v>
      </c>
      <c r="F28">
        <v>4.0869230769230699E-2</v>
      </c>
      <c r="G28">
        <v>3.3769230769230001E-3</v>
      </c>
    </row>
    <row r="29" spans="1:7" x14ac:dyDescent="0.35">
      <c r="A29" s="1" t="s">
        <v>31</v>
      </c>
      <c r="B29">
        <v>0</v>
      </c>
      <c r="C29">
        <v>9.5321428571427998E-3</v>
      </c>
      <c r="D29">
        <v>4.1000000000000003E-3</v>
      </c>
      <c r="E29">
        <v>2.3577759651983998E-3</v>
      </c>
      <c r="F29">
        <v>2.5399999999999999E-2</v>
      </c>
      <c r="G29">
        <v>2.5999999999999999E-3</v>
      </c>
    </row>
    <row r="30" spans="1:7" x14ac:dyDescent="0.35">
      <c r="A30" s="1" t="s">
        <v>32</v>
      </c>
      <c r="B30">
        <v>5.1538461538461E-3</v>
      </c>
      <c r="C30">
        <v>6.5120689655172002E-3</v>
      </c>
      <c r="D30">
        <v>0</v>
      </c>
      <c r="E30">
        <v>1.8233139937189999E-3</v>
      </c>
      <c r="F30">
        <v>1.9012500000000002E-2</v>
      </c>
      <c r="G30">
        <v>1.5555555555555E-3</v>
      </c>
    </row>
    <row r="31" spans="1:7" x14ac:dyDescent="0.35">
      <c r="A31" s="1" t="s">
        <v>33</v>
      </c>
      <c r="B31">
        <v>8.4999999999999E-3</v>
      </c>
      <c r="C31">
        <v>1.7407142857142802E-2</v>
      </c>
      <c r="D31">
        <v>1.2055555555554999E-3</v>
      </c>
      <c r="E31">
        <v>3.3606571916844998E-3</v>
      </c>
      <c r="F31">
        <v>2.452E-2</v>
      </c>
      <c r="G31">
        <v>3.1700000000000001E-3</v>
      </c>
    </row>
    <row r="32" spans="1:7" x14ac:dyDescent="0.35">
      <c r="A32" s="1" t="s">
        <v>34</v>
      </c>
      <c r="B32">
        <v>6.7749999999999998E-3</v>
      </c>
      <c r="C32">
        <v>1.0745454545454501E-2</v>
      </c>
      <c r="D32">
        <v>0</v>
      </c>
      <c r="E32">
        <v>1.9094385679413999E-3</v>
      </c>
      <c r="F32">
        <v>2.0299999999999999E-2</v>
      </c>
      <c r="G32">
        <v>2.7000000000000001E-3</v>
      </c>
    </row>
    <row r="33" spans="1:7" x14ac:dyDescent="0.35">
      <c r="A33" s="1" t="s">
        <v>35</v>
      </c>
      <c r="B33">
        <v>0</v>
      </c>
      <c r="C33">
        <v>1.03666666666666E-2</v>
      </c>
      <c r="D33">
        <v>0</v>
      </c>
      <c r="E33">
        <v>2.6200562879572999E-3</v>
      </c>
      <c r="F33">
        <v>3.91666666666666E-2</v>
      </c>
      <c r="G33">
        <v>2.5999999999999999E-3</v>
      </c>
    </row>
    <row r="34" spans="1:7" x14ac:dyDescent="0.35">
      <c r="A34" s="1" t="s">
        <v>74</v>
      </c>
      <c r="B34">
        <v>8.5764705882351994E-3</v>
      </c>
      <c r="C34">
        <v>1.1380851063829699E-2</v>
      </c>
      <c r="D34">
        <v>0</v>
      </c>
      <c r="E34">
        <v>2.2626601965907E-3</v>
      </c>
      <c r="F34">
        <v>3.7039999999999997E-2</v>
      </c>
      <c r="G34">
        <v>3.3222222222222E-3</v>
      </c>
    </row>
    <row r="35" spans="1:7" x14ac:dyDescent="0.35">
      <c r="A35" s="1" t="s">
        <v>85</v>
      </c>
      <c r="B35">
        <v>7.7499999999999999E-3</v>
      </c>
      <c r="C35">
        <v>1.7249999999999901E-2</v>
      </c>
      <c r="D35">
        <v>1.12E-2</v>
      </c>
      <c r="E35">
        <v>3.2287022703817998E-3</v>
      </c>
      <c r="F35">
        <v>3.9899999999999998E-2</v>
      </c>
      <c r="G35">
        <v>3.0999999999999999E-3</v>
      </c>
    </row>
    <row r="36" spans="1:7" x14ac:dyDescent="0.35">
      <c r="A36" s="1" t="s">
        <v>92</v>
      </c>
      <c r="B36">
        <v>0</v>
      </c>
      <c r="C36">
        <v>1.3558620689655101E-2</v>
      </c>
      <c r="D36">
        <v>0</v>
      </c>
      <c r="E36">
        <v>3.459676540069E-3</v>
      </c>
      <c r="F36">
        <v>4.9866666666666601E-2</v>
      </c>
      <c r="G36">
        <v>3.5499999999999E-3</v>
      </c>
    </row>
    <row r="37" spans="1:7" x14ac:dyDescent="0.35">
      <c r="A37" s="1" t="s">
        <v>36</v>
      </c>
      <c r="B37">
        <v>1.11291666666666E-2</v>
      </c>
      <c r="C37">
        <v>1.7830434782608599E-2</v>
      </c>
      <c r="D37">
        <v>0</v>
      </c>
      <c r="E37">
        <v>2.8278296497655001E-3</v>
      </c>
      <c r="F37">
        <v>3.6999999999999998E-2</v>
      </c>
      <c r="G37">
        <v>3.6222222222221999E-3</v>
      </c>
    </row>
    <row r="38" spans="1:7" x14ac:dyDescent="0.35">
      <c r="A38" s="1" t="s">
        <v>37</v>
      </c>
      <c r="B38">
        <v>3.9418604651162001E-3</v>
      </c>
      <c r="C38">
        <v>4.6492857142857004E-3</v>
      </c>
      <c r="D38">
        <v>0</v>
      </c>
      <c r="E38">
        <v>8.1340022967130003E-4</v>
      </c>
      <c r="F38">
        <v>1.0087499999999999E-2</v>
      </c>
      <c r="G38">
        <v>1.1000000000000001E-3</v>
      </c>
    </row>
    <row r="39" spans="1:7" x14ac:dyDescent="0.35">
      <c r="A39" s="1" t="s">
        <v>75</v>
      </c>
      <c r="B39">
        <v>1.0668E-2</v>
      </c>
      <c r="C39">
        <v>9.1812500000000002E-3</v>
      </c>
      <c r="D39">
        <v>0</v>
      </c>
      <c r="E39">
        <v>5.4437636139784999E-3</v>
      </c>
      <c r="F39">
        <v>2.28857142857142E-2</v>
      </c>
      <c r="G39">
        <v>6.1230769230769004E-3</v>
      </c>
    </row>
    <row r="40" spans="1:7" x14ac:dyDescent="0.35">
      <c r="A40" s="1" t="s">
        <v>38</v>
      </c>
      <c r="B40">
        <v>2.9708333333333002E-3</v>
      </c>
      <c r="C40">
        <v>4.6037037037037001E-3</v>
      </c>
      <c r="D40">
        <v>0</v>
      </c>
      <c r="E40">
        <v>1.2919099590723E-3</v>
      </c>
      <c r="F40">
        <v>1.2455555555555499E-2</v>
      </c>
      <c r="G40">
        <v>3.3833333333332999E-3</v>
      </c>
    </row>
    <row r="41" spans="1:7" x14ac:dyDescent="0.35">
      <c r="A41" s="1" t="s">
        <v>93</v>
      </c>
      <c r="B41">
        <v>3.8999999999999998E-3</v>
      </c>
      <c r="C41">
        <v>1.4718749999999999E-2</v>
      </c>
      <c r="D41">
        <v>1.1299999999999999E-2</v>
      </c>
      <c r="E41">
        <v>4.0216587293545004E-3</v>
      </c>
      <c r="F41">
        <v>4.0662499999999997E-2</v>
      </c>
      <c r="G41">
        <v>3.15E-3</v>
      </c>
    </row>
    <row r="42" spans="1:7" x14ac:dyDescent="0.35">
      <c r="A42" s="1" t="s">
        <v>91</v>
      </c>
      <c r="B42">
        <v>1.0789999999999999E-2</v>
      </c>
      <c r="C42">
        <v>1.47526315789473E-2</v>
      </c>
      <c r="D42">
        <v>5.1000000000000004E-3</v>
      </c>
      <c r="E42">
        <v>3.1111282578874999E-3</v>
      </c>
      <c r="F42">
        <v>1.9E-3</v>
      </c>
      <c r="G42">
        <v>3.4399999999999999E-3</v>
      </c>
    </row>
    <row r="43" spans="1:7" x14ac:dyDescent="0.35">
      <c r="A43" s="1" t="s">
        <v>39</v>
      </c>
      <c r="B43">
        <v>8.0314285714285002E-3</v>
      </c>
      <c r="C43">
        <v>1.4988E-2</v>
      </c>
      <c r="E43">
        <v>3.6776422456246002E-3</v>
      </c>
      <c r="F43">
        <v>3.4633333333333301E-2</v>
      </c>
      <c r="G43">
        <v>3.6666666666665998E-3</v>
      </c>
    </row>
    <row r="44" spans="1:7" x14ac:dyDescent="0.35">
      <c r="A44" s="1" t="s">
        <v>40</v>
      </c>
      <c r="B44">
        <v>1.10666666666666E-2</v>
      </c>
      <c r="C44">
        <v>1.6181250000000001E-2</v>
      </c>
      <c r="E44">
        <v>3.4244666521833001E-3</v>
      </c>
      <c r="F44">
        <v>1.6033333333333299E-2</v>
      </c>
      <c r="G44">
        <v>3.0571428571428E-3</v>
      </c>
    </row>
    <row r="45" spans="1:7" x14ac:dyDescent="0.35">
      <c r="A45" s="1" t="s">
        <v>41</v>
      </c>
      <c r="B45">
        <v>0</v>
      </c>
      <c r="C45">
        <v>1.07816326530612E-2</v>
      </c>
      <c r="D45">
        <v>0</v>
      </c>
      <c r="E45">
        <v>1.7921918572225001E-3</v>
      </c>
      <c r="F45">
        <v>3.0550000000000001E-2</v>
      </c>
      <c r="G45">
        <v>2.8117647058823001E-3</v>
      </c>
    </row>
    <row r="46" spans="1:7" x14ac:dyDescent="0.35">
      <c r="A46" s="1" t="s">
        <v>42</v>
      </c>
      <c r="C46">
        <v>1.4341176470588199E-2</v>
      </c>
      <c r="D46">
        <v>0</v>
      </c>
      <c r="E46">
        <v>3.2791975940619001E-3</v>
      </c>
      <c r="F46">
        <v>3.4849999999999999E-2</v>
      </c>
      <c r="G46">
        <v>3.3541666666666E-3</v>
      </c>
    </row>
    <row r="47" spans="1:7" x14ac:dyDescent="0.35">
      <c r="A47" s="1" t="s">
        <v>43</v>
      </c>
      <c r="B47">
        <v>7.5270270270269999E-3</v>
      </c>
      <c r="C47">
        <v>1.1558181818181801E-2</v>
      </c>
      <c r="D47">
        <v>0</v>
      </c>
      <c r="E47">
        <v>1.8207395892987999E-3</v>
      </c>
      <c r="F47">
        <v>3.4853846153846103E-2</v>
      </c>
      <c r="G47">
        <v>2.7433333333332999E-3</v>
      </c>
    </row>
    <row r="48" spans="1:7" x14ac:dyDescent="0.35">
      <c r="A48" s="1" t="s">
        <v>44</v>
      </c>
      <c r="B48">
        <v>0</v>
      </c>
      <c r="C48">
        <v>1.3755E-2</v>
      </c>
      <c r="D48">
        <v>0</v>
      </c>
      <c r="E48">
        <v>3.0231818484262999E-3</v>
      </c>
      <c r="F48">
        <v>3.4660000000000003E-2</v>
      </c>
      <c r="G48">
        <v>2.8700000000000002E-3</v>
      </c>
    </row>
    <row r="49" spans="1:7" x14ac:dyDescent="0.35">
      <c r="A49" s="1" t="s">
        <v>45</v>
      </c>
      <c r="B49">
        <v>9.9612903225806005E-3</v>
      </c>
      <c r="C49">
        <v>1.7215789473684202E-2</v>
      </c>
      <c r="D49">
        <v>0</v>
      </c>
      <c r="E49">
        <v>3.5813672235318001E-3</v>
      </c>
      <c r="F49">
        <v>3.6466666666666599E-2</v>
      </c>
      <c r="G49">
        <v>4.6142857142857001E-3</v>
      </c>
    </row>
    <row r="50" spans="1:7" x14ac:dyDescent="0.35">
      <c r="A50" s="1" t="s">
        <v>46</v>
      </c>
      <c r="B50">
        <v>8.9107142857142007E-3</v>
      </c>
      <c r="C50">
        <v>1.39900990099009E-2</v>
      </c>
      <c r="D50">
        <v>0</v>
      </c>
      <c r="E50">
        <v>5.2146933744221004E-3</v>
      </c>
      <c r="F50">
        <v>4.4999999999999998E-2</v>
      </c>
      <c r="G50">
        <v>6.7166666666666E-3</v>
      </c>
    </row>
    <row r="51" spans="1:7" x14ac:dyDescent="0.35">
      <c r="A51" s="1" t="s">
        <v>47</v>
      </c>
      <c r="B51">
        <v>8.2956521739129992E-3</v>
      </c>
      <c r="C51">
        <v>1.6152941176470498E-2</v>
      </c>
      <c r="D51">
        <v>0</v>
      </c>
      <c r="E51">
        <v>3.331717127395E-3</v>
      </c>
      <c r="F51">
        <v>4.3400000000000001E-2</v>
      </c>
      <c r="G51">
        <v>3.5100000000000001E-3</v>
      </c>
    </row>
    <row r="52" spans="1:7" x14ac:dyDescent="0.35">
      <c r="A52" s="1" t="s">
        <v>48</v>
      </c>
      <c r="B52">
        <v>0</v>
      </c>
      <c r="C52">
        <v>1.3792499999999999E-2</v>
      </c>
      <c r="D52">
        <v>0</v>
      </c>
      <c r="E52">
        <v>3.0994960996172001E-3</v>
      </c>
      <c r="F52">
        <v>3.8371428571428501E-2</v>
      </c>
      <c r="G52">
        <v>3.7882352941176001E-3</v>
      </c>
    </row>
    <row r="53" spans="1:7" x14ac:dyDescent="0.35">
      <c r="A53" s="1" t="s">
        <v>49</v>
      </c>
      <c r="B53">
        <v>9.8099999999999993E-3</v>
      </c>
      <c r="C53">
        <v>1.6866666666666599E-2</v>
      </c>
      <c r="D53">
        <v>0</v>
      </c>
      <c r="E53">
        <v>4.9915948051948E-3</v>
      </c>
      <c r="F53">
        <v>2.7899999999999901E-2</v>
      </c>
      <c r="G53">
        <v>6.9555555555554996E-3</v>
      </c>
    </row>
    <row r="54" spans="1:7" x14ac:dyDescent="0.35">
      <c r="A54" s="1" t="s">
        <v>50</v>
      </c>
      <c r="B54">
        <v>5.9117647058822996E-3</v>
      </c>
      <c r="C54">
        <v>6.2635220125786002E-3</v>
      </c>
      <c r="D54">
        <v>0</v>
      </c>
      <c r="E54">
        <v>1.9476443699804999E-3</v>
      </c>
      <c r="F54">
        <v>2.129E-2</v>
      </c>
      <c r="G54">
        <v>1.7111111111111001E-3</v>
      </c>
    </row>
    <row r="55" spans="1:7" x14ac:dyDescent="0.35">
      <c r="A55" s="1" t="s">
        <v>51</v>
      </c>
      <c r="B55">
        <v>9.4999999999999998E-3</v>
      </c>
      <c r="C55">
        <v>1.391E-2</v>
      </c>
      <c r="D55">
        <v>3.0000000000000001E-3</v>
      </c>
      <c r="E55">
        <v>3.1697315436241E-3</v>
      </c>
      <c r="F55">
        <v>3.9699999999999999E-2</v>
      </c>
      <c r="G55">
        <v>3.2499999999999999E-3</v>
      </c>
    </row>
    <row r="56" spans="1:7" x14ac:dyDescent="0.35">
      <c r="A56" s="1" t="s">
        <v>52</v>
      </c>
      <c r="B56">
        <v>8.8235294117647006E-3</v>
      </c>
      <c r="C56">
        <v>1.32837988826815E-2</v>
      </c>
      <c r="E56">
        <v>2.7321372984414E-3</v>
      </c>
      <c r="F56">
        <v>3.3411999999999997E-2</v>
      </c>
      <c r="G56">
        <v>3.0705882352941001E-3</v>
      </c>
    </row>
    <row r="57" spans="1:7" x14ac:dyDescent="0.35">
      <c r="A57" s="1" t="s">
        <v>53</v>
      </c>
      <c r="B57">
        <v>8.4367647058822999E-3</v>
      </c>
      <c r="C57">
        <v>1.5328767123287601E-2</v>
      </c>
      <c r="D57">
        <v>0</v>
      </c>
      <c r="E57">
        <v>3.6580227882037001E-3</v>
      </c>
      <c r="F57">
        <v>4.47833333333333E-2</v>
      </c>
      <c r="G57">
        <v>3.8124999999999999E-3</v>
      </c>
    </row>
    <row r="58" spans="1:7" x14ac:dyDescent="0.35">
      <c r="A58" s="1" t="s">
        <v>86</v>
      </c>
      <c r="B58">
        <v>6.0847058823529001E-3</v>
      </c>
      <c r="C58">
        <v>1.24188524590163E-2</v>
      </c>
      <c r="D58">
        <v>0</v>
      </c>
      <c r="E58">
        <v>3.3651269864844002E-3</v>
      </c>
      <c r="F58">
        <v>4.2599999999999999E-2</v>
      </c>
      <c r="G58">
        <v>3.2121951219512002E-3</v>
      </c>
    </row>
    <row r="59" spans="1:7" x14ac:dyDescent="0.35">
      <c r="A59" s="1" t="s">
        <v>54</v>
      </c>
      <c r="B59">
        <v>8.2520000000000007E-3</v>
      </c>
      <c r="C59">
        <v>1.39553191489361E-2</v>
      </c>
      <c r="D59">
        <v>0</v>
      </c>
      <c r="E59">
        <v>3.7860114608680999E-3</v>
      </c>
      <c r="F59">
        <v>3.6366666666666603E-2</v>
      </c>
      <c r="G59">
        <v>4.3499999999999997E-3</v>
      </c>
    </row>
    <row r="60" spans="1:7" x14ac:dyDescent="0.35">
      <c r="A60" s="1" t="s">
        <v>77</v>
      </c>
      <c r="B60">
        <v>0</v>
      </c>
      <c r="C60">
        <v>8.6363636363636E-3</v>
      </c>
      <c r="D60">
        <v>0</v>
      </c>
      <c r="E60">
        <v>2.3857378061329002E-3</v>
      </c>
      <c r="F60">
        <v>3.6499999999999998E-2</v>
      </c>
      <c r="G60">
        <v>2.32E-3</v>
      </c>
    </row>
    <row r="61" spans="1:7" x14ac:dyDescent="0.35">
      <c r="A61" s="1" t="s">
        <v>78</v>
      </c>
      <c r="B61">
        <v>0</v>
      </c>
      <c r="C61">
        <v>1.0243984962406E-2</v>
      </c>
      <c r="D61">
        <v>4.8999999999999998E-3</v>
      </c>
      <c r="E61">
        <v>3.1072038467141998E-3</v>
      </c>
      <c r="F61">
        <v>3.0124242424242401E-2</v>
      </c>
      <c r="G61">
        <v>3.4111111111111E-3</v>
      </c>
    </row>
    <row r="62" spans="1:7" x14ac:dyDescent="0.35">
      <c r="A62" s="1" t="s">
        <v>70</v>
      </c>
      <c r="C62">
        <v>1.29833333333333E-2</v>
      </c>
      <c r="D62">
        <v>5.9999999999999995E-4</v>
      </c>
      <c r="E62">
        <v>3.3231920199501002E-3</v>
      </c>
      <c r="F62">
        <v>3.4099999999999998E-2</v>
      </c>
      <c r="G62">
        <v>3.0000000000000001E-3</v>
      </c>
    </row>
    <row r="63" spans="1:7" x14ac:dyDescent="0.35">
      <c r="A63" s="1" t="s">
        <v>79</v>
      </c>
      <c r="B63">
        <v>8.2363636363636007E-3</v>
      </c>
      <c r="C63">
        <v>1.65923809523809E-2</v>
      </c>
      <c r="D63">
        <v>1.13142857142857E-2</v>
      </c>
      <c r="E63">
        <v>4.2509569034481004E-3</v>
      </c>
      <c r="F63">
        <v>1.3146875000000001E-2</v>
      </c>
      <c r="G63">
        <v>3.2673469387755E-3</v>
      </c>
    </row>
    <row r="64" spans="1:7" x14ac:dyDescent="0.35">
      <c r="A64" s="1" t="s">
        <v>80</v>
      </c>
      <c r="B64">
        <v>1.13533333333333E-2</v>
      </c>
      <c r="C64">
        <v>1.4321428571428501E-2</v>
      </c>
      <c r="D64">
        <v>0</v>
      </c>
      <c r="E64">
        <v>3.6680290872617002E-3</v>
      </c>
      <c r="F64">
        <v>5.3449999999999998E-2</v>
      </c>
      <c r="G64">
        <v>3.7666666666666001E-3</v>
      </c>
    </row>
    <row r="65" spans="1:7" x14ac:dyDescent="0.35">
      <c r="A65" s="1" t="s">
        <v>89</v>
      </c>
      <c r="B65">
        <v>1.13533333333333E-2</v>
      </c>
      <c r="C65">
        <v>1.6883333333333299E-2</v>
      </c>
      <c r="D65">
        <v>5.9999999999999995E-4</v>
      </c>
      <c r="E65">
        <v>3.3728561428070999E-3</v>
      </c>
      <c r="F65">
        <v>3.5174999999999998E-2</v>
      </c>
      <c r="G65">
        <v>3.0999999999999999E-3</v>
      </c>
    </row>
    <row r="66" spans="1:7" x14ac:dyDescent="0.35">
      <c r="A66" s="1" t="s">
        <v>72</v>
      </c>
      <c r="B66">
        <v>7.6499999999999997E-3</v>
      </c>
      <c r="C66">
        <v>1.406E-2</v>
      </c>
      <c r="D66">
        <v>5.9999999999999995E-4</v>
      </c>
      <c r="E66">
        <v>3.3545080670673E-3</v>
      </c>
      <c r="F66">
        <v>3.4325000000000001E-2</v>
      </c>
      <c r="G66">
        <v>3.0500000000000002E-3</v>
      </c>
    </row>
    <row r="67" spans="1:7" x14ac:dyDescent="0.35">
      <c r="A67" s="1" t="s">
        <v>81</v>
      </c>
      <c r="B67">
        <v>8.2365384615383994E-3</v>
      </c>
      <c r="C67">
        <v>1.3552E-2</v>
      </c>
      <c r="D67">
        <v>4.8999999999999998E-3</v>
      </c>
      <c r="E67">
        <v>3.2595160913875998E-3</v>
      </c>
      <c r="F67">
        <v>4.2437500000000003E-2</v>
      </c>
      <c r="G67">
        <v>3.3230769230769E-3</v>
      </c>
    </row>
    <row r="68" spans="1:7" x14ac:dyDescent="0.35">
      <c r="A68" s="1" t="s">
        <v>82</v>
      </c>
      <c r="B68">
        <v>1.025E-2</v>
      </c>
      <c r="C68">
        <v>1.7022222222222199E-2</v>
      </c>
      <c r="D68">
        <v>1.1599999999999999E-2</v>
      </c>
      <c r="E68">
        <v>4.1049280767180996E-3</v>
      </c>
      <c r="F68">
        <v>4.1083333333333298E-2</v>
      </c>
      <c r="G68">
        <v>3.5454545454545001E-3</v>
      </c>
    </row>
    <row r="69" spans="1:7" x14ac:dyDescent="0.35">
      <c r="A69" s="1" t="s">
        <v>83</v>
      </c>
      <c r="B69">
        <v>0</v>
      </c>
      <c r="C69">
        <v>1.6500000000000001E-2</v>
      </c>
      <c r="D69">
        <v>1.17E-2</v>
      </c>
      <c r="E69">
        <v>3.2493753762792999E-3</v>
      </c>
      <c r="F69">
        <v>4.0562500000000001E-2</v>
      </c>
      <c r="G69">
        <v>3.1375000000000001E-3</v>
      </c>
    </row>
    <row r="70" spans="1:7" x14ac:dyDescent="0.35">
      <c r="A70" s="1" t="s">
        <v>87</v>
      </c>
      <c r="B70">
        <v>8.5448598130841002E-3</v>
      </c>
      <c r="C70">
        <v>1.3735365853658499E-2</v>
      </c>
      <c r="D70">
        <v>0</v>
      </c>
      <c r="E70">
        <v>2.2751419935562998E-3</v>
      </c>
      <c r="F70">
        <v>4.7066666666666597E-2</v>
      </c>
      <c r="G70">
        <v>3.2962962962962E-3</v>
      </c>
    </row>
    <row r="71" spans="1:7" x14ac:dyDescent="0.35">
      <c r="A71" s="1" t="s">
        <v>73</v>
      </c>
      <c r="B71">
        <v>8.4999999999999E-3</v>
      </c>
      <c r="C71">
        <v>1.5335294117647001E-2</v>
      </c>
      <c r="D71">
        <v>1.12E-2</v>
      </c>
      <c r="E71">
        <v>3.3950685654008002E-3</v>
      </c>
      <c r="F71">
        <v>3.9528571428571399E-2</v>
      </c>
      <c r="G71">
        <v>3.0818181818181001E-3</v>
      </c>
    </row>
    <row r="72" spans="1:7" x14ac:dyDescent="0.35">
      <c r="A72" s="1" t="s">
        <v>55</v>
      </c>
      <c r="B72">
        <v>0</v>
      </c>
      <c r="C72">
        <v>8.3524193548386999E-3</v>
      </c>
      <c r="D72">
        <v>0</v>
      </c>
      <c r="E72">
        <v>2.4562233122772002E-3</v>
      </c>
      <c r="F72">
        <v>2.2700000000000001E-2</v>
      </c>
      <c r="G72">
        <v>3.1947368421051999E-3</v>
      </c>
    </row>
    <row r="73" spans="1:7" x14ac:dyDescent="0.35">
      <c r="A73" s="1" t="s">
        <v>56</v>
      </c>
      <c r="B73">
        <v>0</v>
      </c>
      <c r="C73">
        <v>1.4449999999999999E-2</v>
      </c>
      <c r="D73">
        <v>0</v>
      </c>
      <c r="E73">
        <v>3.2776431150077002E-3</v>
      </c>
      <c r="F73">
        <v>3.5674999999999998E-2</v>
      </c>
      <c r="G73">
        <v>3.1857142857142002E-3</v>
      </c>
    </row>
    <row r="74" spans="1:7" x14ac:dyDescent="0.35">
      <c r="A74" s="1" t="s">
        <v>57</v>
      </c>
      <c r="B74">
        <v>5.4799999999999996E-3</v>
      </c>
      <c r="C74">
        <v>6.5020833333332998E-3</v>
      </c>
      <c r="D74">
        <v>0</v>
      </c>
      <c r="E74">
        <v>1.9923728479691E-3</v>
      </c>
      <c r="F74">
        <v>1.8542857142857101E-2</v>
      </c>
      <c r="G74">
        <v>2.9666666666666001E-3</v>
      </c>
    </row>
    <row r="75" spans="1:7" x14ac:dyDescent="0.35">
      <c r="A75" s="1" t="s">
        <v>58</v>
      </c>
      <c r="B75">
        <v>1.0062857142857101E-2</v>
      </c>
      <c r="C75">
        <v>6.0489583333333003E-3</v>
      </c>
      <c r="D75">
        <v>0</v>
      </c>
      <c r="E75">
        <v>2.8085038970913998E-3</v>
      </c>
      <c r="F75">
        <v>2.1663636363636302E-2</v>
      </c>
      <c r="G75">
        <v>2.2714285714284998E-3</v>
      </c>
    </row>
    <row r="76" spans="1:7" x14ac:dyDescent="0.35">
      <c r="A76" s="1" t="s">
        <v>59</v>
      </c>
      <c r="B76">
        <v>0</v>
      </c>
      <c r="C76">
        <v>1.36096774193548E-2</v>
      </c>
      <c r="D76">
        <v>0</v>
      </c>
      <c r="E76">
        <v>3.6095062234987999E-3</v>
      </c>
      <c r="F76">
        <v>2.6224999999999998E-2</v>
      </c>
      <c r="G76">
        <v>3.5200000000000001E-3</v>
      </c>
    </row>
    <row r="77" spans="1:7" x14ac:dyDescent="0.35">
      <c r="A77" s="1" t="s">
        <v>60</v>
      </c>
      <c r="B77">
        <v>9.1999999999999998E-3</v>
      </c>
      <c r="C77">
        <v>1.7170588235294101E-2</v>
      </c>
      <c r="D77">
        <v>1.15E-2</v>
      </c>
      <c r="E77">
        <v>3.9605149794398999E-3</v>
      </c>
      <c r="F77">
        <v>1.6899999999999998E-2</v>
      </c>
      <c r="G77">
        <v>3.1899999999998999E-3</v>
      </c>
    </row>
    <row r="78" spans="1:7" x14ac:dyDescent="0.35">
      <c r="A78" s="1" t="s">
        <v>61</v>
      </c>
      <c r="B78">
        <v>5.7972222222222002E-3</v>
      </c>
      <c r="C78">
        <v>1.22782608695652E-2</v>
      </c>
      <c r="E78">
        <v>2.5945865817503001E-3</v>
      </c>
      <c r="F78">
        <v>3.4079999999999999E-2</v>
      </c>
      <c r="G78">
        <v>2.7315789473684E-3</v>
      </c>
    </row>
    <row r="79" spans="1:7" x14ac:dyDescent="0.35">
      <c r="A79" s="1" t="s">
        <v>62</v>
      </c>
      <c r="B79">
        <v>0</v>
      </c>
      <c r="C79">
        <v>8.4541401273884997E-3</v>
      </c>
      <c r="D79">
        <v>0</v>
      </c>
      <c r="E79">
        <v>2.2574559475089999E-3</v>
      </c>
      <c r="F79">
        <v>2.9392857142857099E-2</v>
      </c>
      <c r="G79">
        <v>2.2550000000000001E-3</v>
      </c>
    </row>
    <row r="80" spans="1:7" x14ac:dyDescent="0.35">
      <c r="A80" s="1" t="s">
        <v>63</v>
      </c>
      <c r="B80">
        <v>4.9933333333333002E-3</v>
      </c>
      <c r="C80">
        <v>1.53272727272727E-2</v>
      </c>
      <c r="D80">
        <v>0</v>
      </c>
      <c r="E80">
        <v>3.8919414893616999E-3</v>
      </c>
      <c r="F80">
        <v>5.3100000000000001E-2</v>
      </c>
      <c r="G80">
        <v>4.5666666666666E-3</v>
      </c>
    </row>
    <row r="81" spans="1:7" x14ac:dyDescent="0.35">
      <c r="A81" s="1" t="s">
        <v>64</v>
      </c>
      <c r="B81">
        <v>0</v>
      </c>
      <c r="C81">
        <v>1.07977272727272E-2</v>
      </c>
      <c r="D81">
        <v>2.5999999999999999E-3</v>
      </c>
      <c r="E81">
        <v>3.2749641113982001E-3</v>
      </c>
      <c r="F81">
        <v>3.2707692307692299E-2</v>
      </c>
      <c r="G81">
        <v>3.0086956521739E-3</v>
      </c>
    </row>
    <row r="82" spans="1:7" x14ac:dyDescent="0.35">
      <c r="A82" s="1" t="s">
        <v>88</v>
      </c>
      <c r="B82">
        <v>4.6757575757574998E-3</v>
      </c>
      <c r="C82">
        <v>1.5327777777777701E-2</v>
      </c>
      <c r="D82">
        <v>1.09E-2</v>
      </c>
      <c r="E82">
        <v>3.2466526797634001E-3</v>
      </c>
      <c r="F82">
        <v>2.215E-2</v>
      </c>
      <c r="G82">
        <v>3.0125E-3</v>
      </c>
    </row>
    <row r="83" spans="1:7" x14ac:dyDescent="0.35">
      <c r="A83" s="1" t="s">
        <v>65</v>
      </c>
      <c r="B83">
        <v>0</v>
      </c>
      <c r="C83">
        <v>1.25099999999999E-2</v>
      </c>
      <c r="D83">
        <v>0</v>
      </c>
      <c r="E83">
        <v>3.1936749769158998E-3</v>
      </c>
      <c r="F83">
        <v>3.12333333333333E-2</v>
      </c>
      <c r="G83">
        <v>3.0999999999999999E-3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G83"/>
  <sheetViews>
    <sheetView workbookViewId="0">
      <selection activeCell="K30" sqref="K30"/>
    </sheetView>
  </sheetViews>
  <sheetFormatPr defaultRowHeight="14.5" x14ac:dyDescent="0.35"/>
  <cols>
    <col min="1" max="1" width="20.36328125" bestFit="1" customWidth="1"/>
    <col min="2" max="7" width="11.81640625" bestFit="1" customWidth="1"/>
  </cols>
  <sheetData>
    <row r="1" spans="1:7" x14ac:dyDescent="0.35">
      <c r="A1" s="1" t="s">
        <v>6</v>
      </c>
      <c r="B1" s="1" t="s">
        <v>0</v>
      </c>
      <c r="C1" s="1" t="s">
        <v>1</v>
      </c>
      <c r="D1" s="1" t="s">
        <v>2</v>
      </c>
      <c r="E1" s="1" t="s">
        <v>3</v>
      </c>
      <c r="F1" s="1" t="s">
        <v>4</v>
      </c>
      <c r="G1" s="1" t="s">
        <v>5</v>
      </c>
    </row>
    <row r="2" spans="1:7" x14ac:dyDescent="0.35">
      <c r="A2" s="1" t="s">
        <v>7</v>
      </c>
      <c r="B2">
        <v>2.6468898052290002E-3</v>
      </c>
      <c r="C2">
        <v>3.4004087435891002E-3</v>
      </c>
      <c r="D2">
        <v>0</v>
      </c>
      <c r="E2">
        <v>2.1067492867600001E-3</v>
      </c>
      <c r="F2">
        <v>2.4566304836774501E-2</v>
      </c>
      <c r="G2">
        <v>1.5776212754929999E-4</v>
      </c>
    </row>
    <row r="3" spans="1:7" x14ac:dyDescent="0.35">
      <c r="A3" s="1" t="s">
        <v>8</v>
      </c>
      <c r="B3">
        <v>2.6497436299286999E-3</v>
      </c>
      <c r="C3">
        <v>3.0651887715952E-3</v>
      </c>
      <c r="D3">
        <v>0</v>
      </c>
      <c r="E3">
        <v>3.1014404363346E-3</v>
      </c>
      <c r="F3">
        <v>2.47889088101917E-2</v>
      </c>
      <c r="G3">
        <v>2.1332403253533998E-3</v>
      </c>
    </row>
    <row r="4" spans="1:7" x14ac:dyDescent="0.35">
      <c r="A4" s="1" t="s">
        <v>9</v>
      </c>
      <c r="B4">
        <v>5.1922638768331E-3</v>
      </c>
      <c r="C4">
        <v>6.5450195052000996E-3</v>
      </c>
      <c r="D4">
        <v>2.0428737928059001E-3</v>
      </c>
      <c r="E4">
        <v>2.2191467787521998E-3</v>
      </c>
      <c r="F4">
        <v>1.8516150045298201E-2</v>
      </c>
      <c r="G4">
        <v>5.3309954225380001E-4</v>
      </c>
    </row>
    <row r="5" spans="1:7" x14ac:dyDescent="0.35">
      <c r="A5" s="1" t="s">
        <v>10</v>
      </c>
      <c r="B5">
        <v>7.2923155179029E-3</v>
      </c>
      <c r="C5">
        <v>7.1854545837933999E-3</v>
      </c>
      <c r="E5">
        <v>7.6524774833679997E-3</v>
      </c>
      <c r="F5">
        <v>2.0627893736394901E-2</v>
      </c>
      <c r="G5">
        <v>3.5355339059327208E-5</v>
      </c>
    </row>
    <row r="6" spans="1:7" x14ac:dyDescent="0.35">
      <c r="A6" s="1" t="s">
        <v>11</v>
      </c>
      <c r="B6">
        <v>0</v>
      </c>
      <c r="C6">
        <v>4.4420814841791998E-3</v>
      </c>
      <c r="D6">
        <v>0</v>
      </c>
      <c r="E6">
        <v>2.0700322523447999E-3</v>
      </c>
      <c r="F6">
        <v>7.3711147958310005E-4</v>
      </c>
      <c r="G6">
        <v>3.3763886032260002E-4</v>
      </c>
    </row>
    <row r="7" spans="1:7" x14ac:dyDescent="0.35">
      <c r="A7" s="1" t="s">
        <v>12</v>
      </c>
      <c r="B7">
        <v>4.4007070139038002E-3</v>
      </c>
      <c r="C7">
        <v>5.1124198889774004E-3</v>
      </c>
      <c r="E7">
        <v>3.5722276133038E-3</v>
      </c>
      <c r="F7">
        <v>1.8121783786897099E-2</v>
      </c>
      <c r="G7">
        <v>1.251665557034E-4</v>
      </c>
    </row>
    <row r="8" spans="1:7" x14ac:dyDescent="0.35">
      <c r="A8" s="1" t="s">
        <v>13</v>
      </c>
      <c r="B8">
        <v>3.1381614794755001E-3</v>
      </c>
      <c r="C8">
        <v>5.0588260510212998E-3</v>
      </c>
      <c r="D8">
        <v>0</v>
      </c>
      <c r="E8">
        <v>2.6270037153210001E-3</v>
      </c>
      <c r="F8">
        <v>2.19027852110182E-2</v>
      </c>
      <c r="G8">
        <v>3.8098755248890001E-4</v>
      </c>
    </row>
    <row r="9" spans="1:7" x14ac:dyDescent="0.35">
      <c r="A9" s="1" t="s">
        <v>14</v>
      </c>
      <c r="B9">
        <v>1.1759380354244399E-2</v>
      </c>
      <c r="C9">
        <v>4.8561172761785003E-3</v>
      </c>
      <c r="E9">
        <v>2.7066690640987E-3</v>
      </c>
      <c r="F9">
        <v>2.10708922449904E-2</v>
      </c>
      <c r="G9">
        <v>1.1901380472149E-3</v>
      </c>
    </row>
    <row r="10" spans="1:7" x14ac:dyDescent="0.35">
      <c r="A10" s="1" t="s">
        <v>15</v>
      </c>
      <c r="C10">
        <v>3.3864193859159999E-4</v>
      </c>
      <c r="D10">
        <v>7.6367532368147003E-3</v>
      </c>
      <c r="E10">
        <v>2.3614524151131999E-3</v>
      </c>
      <c r="F10">
        <v>4.231401884099E-4</v>
      </c>
      <c r="G10">
        <v>7.0710678118654849E-5</v>
      </c>
    </row>
    <row r="11" spans="1:7" x14ac:dyDescent="0.35">
      <c r="A11" s="1" t="s">
        <v>16</v>
      </c>
      <c r="B11">
        <v>1.1292260691072001E-3</v>
      </c>
      <c r="C11">
        <v>7.6880209850562998E-3</v>
      </c>
      <c r="E11">
        <v>2.6810388522328001E-3</v>
      </c>
      <c r="F11">
        <v>2.6299556396760002E-4</v>
      </c>
      <c r="G11">
        <v>6.0827625302979995E-4</v>
      </c>
    </row>
    <row r="12" spans="1:7" x14ac:dyDescent="0.35">
      <c r="A12" s="1" t="s">
        <v>76</v>
      </c>
      <c r="B12">
        <v>8.6433151366661996E-3</v>
      </c>
      <c r="C12">
        <v>2.5312018807716E-3</v>
      </c>
      <c r="D12">
        <v>0</v>
      </c>
      <c r="E12">
        <v>3.7212669234426999E-3</v>
      </c>
      <c r="F12">
        <v>1.4242454142457299E-2</v>
      </c>
      <c r="G12">
        <v>2.2206820059225999E-3</v>
      </c>
    </row>
    <row r="13" spans="1:7" x14ac:dyDescent="0.35">
      <c r="A13" s="1" t="s">
        <v>17</v>
      </c>
      <c r="B13">
        <v>4.1025863079786999E-3</v>
      </c>
      <c r="C13">
        <v>6.5428362261601E-3</v>
      </c>
      <c r="D13">
        <v>0</v>
      </c>
      <c r="E13">
        <v>2.8383636973745002E-3</v>
      </c>
      <c r="F13">
        <v>2.2646802570488098E-2</v>
      </c>
      <c r="G13">
        <v>1.8394721782992E-3</v>
      </c>
    </row>
    <row r="14" spans="1:7" x14ac:dyDescent="0.35">
      <c r="A14" s="1" t="s">
        <v>18</v>
      </c>
      <c r="B14">
        <v>1.0031452700882499E-2</v>
      </c>
      <c r="C14">
        <v>5.8693728121871E-3</v>
      </c>
      <c r="E14">
        <v>2.1907671146622E-3</v>
      </c>
      <c r="F14">
        <v>1.54045567757767E-2</v>
      </c>
      <c r="G14">
        <v>1.7189270330430001E-4</v>
      </c>
    </row>
    <row r="15" spans="1:7" x14ac:dyDescent="0.35">
      <c r="A15" s="1" t="s">
        <v>19</v>
      </c>
      <c r="B15">
        <v>8.5416664911000997E-3</v>
      </c>
      <c r="C15">
        <v>5.0270993930152004E-3</v>
      </c>
      <c r="D15">
        <v>0</v>
      </c>
      <c r="E15">
        <v>2.2600016197504001E-3</v>
      </c>
      <c r="F15">
        <v>2.2975349108700499E-2</v>
      </c>
      <c r="G15">
        <v>1.0584317539538001E-3</v>
      </c>
    </row>
    <row r="16" spans="1:7" x14ac:dyDescent="0.35">
      <c r="A16" s="1" t="s">
        <v>20</v>
      </c>
      <c r="B16">
        <v>2.9243507386298002E-3</v>
      </c>
      <c r="C16">
        <v>4.3378387398386002E-3</v>
      </c>
      <c r="D16">
        <v>0</v>
      </c>
      <c r="E16">
        <v>4.8845459958911999E-3</v>
      </c>
      <c r="F16">
        <v>2.83276492897966E-2</v>
      </c>
      <c r="G16">
        <v>2.5119562580634002E-3</v>
      </c>
    </row>
    <row r="17" spans="1:7" x14ac:dyDescent="0.35">
      <c r="A17" s="1" t="s">
        <v>90</v>
      </c>
      <c r="B17">
        <v>1.7543226589038E-3</v>
      </c>
      <c r="C17">
        <v>1.8744864539538E-3</v>
      </c>
      <c r="D17">
        <v>0</v>
      </c>
      <c r="E17">
        <v>2.3844233115420999E-3</v>
      </c>
      <c r="F17">
        <v>1.5927639403555599E-2</v>
      </c>
      <c r="G17">
        <v>1.7246329970049999E-4</v>
      </c>
    </row>
    <row r="18" spans="1:7" x14ac:dyDescent="0.35">
      <c r="A18" s="1" t="s">
        <v>21</v>
      </c>
      <c r="B18">
        <v>2.6131595705537001E-3</v>
      </c>
      <c r="C18">
        <v>6.9599329498685998E-3</v>
      </c>
      <c r="E18">
        <v>4.2992610987260997E-3</v>
      </c>
      <c r="F18">
        <v>1.4910576037758401E-2</v>
      </c>
      <c r="G18">
        <v>5.4772255750516763E-5</v>
      </c>
    </row>
    <row r="19" spans="1:7" x14ac:dyDescent="0.35">
      <c r="A19" s="1" t="s">
        <v>22</v>
      </c>
      <c r="B19">
        <v>7.3605438131271001E-3</v>
      </c>
      <c r="C19">
        <v>6.9607677535813003E-3</v>
      </c>
      <c r="D19">
        <v>1.4142135623729999E-4</v>
      </c>
      <c r="E19">
        <v>5.4241098110200999E-3</v>
      </c>
      <c r="F19">
        <v>1.7821762465909601E-2</v>
      </c>
      <c r="G19">
        <v>8.1117732833743453E-5</v>
      </c>
    </row>
    <row r="20" spans="1:7" x14ac:dyDescent="0.35">
      <c r="A20" s="1" t="s">
        <v>23</v>
      </c>
      <c r="B20">
        <v>0</v>
      </c>
      <c r="C20">
        <v>3.7757661813740001E-4</v>
      </c>
      <c r="D20">
        <v>0</v>
      </c>
      <c r="E20">
        <v>3.4020507135285E-3</v>
      </c>
      <c r="F20">
        <v>4.9497474683050002E-4</v>
      </c>
      <c r="G20">
        <v>5.7735026918962497E-5</v>
      </c>
    </row>
    <row r="21" spans="1:7" x14ac:dyDescent="0.35">
      <c r="A21" s="1" t="s">
        <v>84</v>
      </c>
      <c r="B21">
        <v>6.8873244511375997E-3</v>
      </c>
      <c r="C21">
        <v>4.4279070549296997E-3</v>
      </c>
      <c r="D21">
        <v>0</v>
      </c>
      <c r="E21">
        <v>2.2656686540866002E-3</v>
      </c>
      <c r="F21">
        <v>6.0277137733410005E-4</v>
      </c>
      <c r="G21">
        <v>1.154700538379E-4</v>
      </c>
    </row>
    <row r="22" spans="1:7" x14ac:dyDescent="0.35">
      <c r="A22" s="1" t="s">
        <v>24</v>
      </c>
      <c r="B22">
        <v>6.2896575293678999E-3</v>
      </c>
      <c r="C22">
        <v>7.3659746413886999E-3</v>
      </c>
      <c r="E22">
        <v>4.8632589343239998E-3</v>
      </c>
      <c r="F22">
        <v>2.07511927368043E-2</v>
      </c>
      <c r="G22">
        <v>4.6709936649691303E-5</v>
      </c>
    </row>
    <row r="23" spans="1:7" x14ac:dyDescent="0.35">
      <c r="A23" s="1" t="s">
        <v>25</v>
      </c>
      <c r="B23">
        <v>3.1414748172694999E-3</v>
      </c>
      <c r="C23">
        <v>5.0726437176007002E-3</v>
      </c>
      <c r="D23">
        <v>0</v>
      </c>
      <c r="E23">
        <v>2.7897226346644999E-3</v>
      </c>
      <c r="F23">
        <v>1.8756052991221801E-2</v>
      </c>
      <c r="G23">
        <v>1.118033988749E-4</v>
      </c>
    </row>
    <row r="24" spans="1:7" x14ac:dyDescent="0.35">
      <c r="A24" s="1" t="s">
        <v>26</v>
      </c>
      <c r="C24">
        <v>7.3901059983376002E-3</v>
      </c>
      <c r="E24">
        <v>2.3464149820399999E-3</v>
      </c>
      <c r="G24">
        <v>5.7735026918962558E-5</v>
      </c>
    </row>
    <row r="25" spans="1:7" x14ac:dyDescent="0.35">
      <c r="A25" s="1" t="s">
        <v>27</v>
      </c>
      <c r="B25">
        <v>7.5557235479690003E-3</v>
      </c>
      <c r="C25">
        <v>6.2859678501297998E-3</v>
      </c>
      <c r="D25">
        <v>0</v>
      </c>
      <c r="E25">
        <v>5.9160337584326997E-3</v>
      </c>
      <c r="F25">
        <v>2.97057233542628E-2</v>
      </c>
      <c r="G25">
        <v>5.7735026918962538E-5</v>
      </c>
    </row>
    <row r="26" spans="1:7" x14ac:dyDescent="0.35">
      <c r="A26" s="1" t="s">
        <v>28</v>
      </c>
      <c r="B26">
        <v>1.1611907554696699E-2</v>
      </c>
      <c r="C26">
        <v>6.5861363573968996E-3</v>
      </c>
      <c r="E26">
        <v>3.8915240815073E-3</v>
      </c>
      <c r="F26">
        <v>1.87081562723618E-2</v>
      </c>
      <c r="G26">
        <v>9.0342485608280485E-5</v>
      </c>
    </row>
    <row r="27" spans="1:7" x14ac:dyDescent="0.35">
      <c r="A27" s="1" t="s">
        <v>29</v>
      </c>
      <c r="B27">
        <v>2.3211598935083001E-3</v>
      </c>
      <c r="C27">
        <v>3.6021274640857001E-3</v>
      </c>
      <c r="D27">
        <v>0</v>
      </c>
      <c r="E27">
        <v>5.4553243489432E-3</v>
      </c>
      <c r="F27">
        <v>2.2386330154310099E-2</v>
      </c>
      <c r="G27">
        <v>3.7024059101899002E-3</v>
      </c>
    </row>
    <row r="28" spans="1:7" x14ac:dyDescent="0.35">
      <c r="A28" s="1" t="s">
        <v>30</v>
      </c>
      <c r="C28">
        <v>4.0667741729671003E-3</v>
      </c>
      <c r="E28">
        <v>2.4153720477713999E-3</v>
      </c>
      <c r="F28">
        <v>1.7375480070844301E-2</v>
      </c>
      <c r="G28">
        <v>1.2351684199489999E-4</v>
      </c>
    </row>
    <row r="29" spans="1:7" x14ac:dyDescent="0.35">
      <c r="A29" s="1" t="s">
        <v>31</v>
      </c>
      <c r="B29">
        <v>0</v>
      </c>
      <c r="C29">
        <v>2.5690540985036999E-3</v>
      </c>
      <c r="E29">
        <v>1.9704149409198999E-3</v>
      </c>
      <c r="F29">
        <v>1.6166426115048801E-2</v>
      </c>
      <c r="G29">
        <v>9.4566680933910003E-4</v>
      </c>
    </row>
    <row r="30" spans="1:7" x14ac:dyDescent="0.35">
      <c r="A30" s="1" t="s">
        <v>32</v>
      </c>
      <c r="B30">
        <v>1.5446765489983999E-3</v>
      </c>
      <c r="C30">
        <v>1.8558657681918E-3</v>
      </c>
      <c r="D30">
        <v>0</v>
      </c>
      <c r="E30">
        <v>1.4234655050295001E-3</v>
      </c>
      <c r="F30">
        <v>8.0056118709672004E-3</v>
      </c>
      <c r="G30">
        <v>3.5039660069379998E-4</v>
      </c>
    </row>
    <row r="31" spans="1:7" x14ac:dyDescent="0.35">
      <c r="A31" s="1" t="s">
        <v>33</v>
      </c>
      <c r="B31">
        <v>1.9407902170679001E-3</v>
      </c>
      <c r="C31">
        <v>6.9248718525483002E-3</v>
      </c>
      <c r="D31">
        <v>2.5691546383110999E-3</v>
      </c>
      <c r="E31">
        <v>2.2474681680720999E-3</v>
      </c>
      <c r="F31">
        <v>2.4055528355129599E-2</v>
      </c>
      <c r="G31">
        <v>8.2327260234856437E-5</v>
      </c>
    </row>
    <row r="32" spans="1:7" x14ac:dyDescent="0.35">
      <c r="A32" s="1" t="s">
        <v>34</v>
      </c>
      <c r="B32">
        <v>2.3171462333367002E-3</v>
      </c>
      <c r="C32">
        <v>2.7207714719530002E-4</v>
      </c>
      <c r="D32">
        <v>0</v>
      </c>
      <c r="E32">
        <v>2.0791638424452002E-3</v>
      </c>
      <c r="F32">
        <v>2.6587214972614098E-2</v>
      </c>
      <c r="G32">
        <v>0</v>
      </c>
    </row>
    <row r="33" spans="1:7" x14ac:dyDescent="0.35">
      <c r="A33" s="1" t="s">
        <v>35</v>
      </c>
      <c r="B33">
        <v>0</v>
      </c>
      <c r="C33">
        <v>9.8556244517189993E-4</v>
      </c>
      <c r="D33">
        <v>0</v>
      </c>
      <c r="E33">
        <v>2.0895714385564998E-3</v>
      </c>
      <c r="F33">
        <v>5.859465277082E-4</v>
      </c>
      <c r="G33">
        <v>2.3094010767580001E-4</v>
      </c>
    </row>
    <row r="34" spans="1:7" x14ac:dyDescent="0.35">
      <c r="A34" s="1" t="s">
        <v>74</v>
      </c>
      <c r="B34">
        <v>2.8342832894236E-3</v>
      </c>
      <c r="C34">
        <v>1.3394739879117E-3</v>
      </c>
      <c r="D34">
        <v>0</v>
      </c>
      <c r="E34">
        <v>1.9328235588205E-3</v>
      </c>
      <c r="F34">
        <v>2.0612690265950199E-2</v>
      </c>
      <c r="G34">
        <v>3.9299420408500001E-4</v>
      </c>
    </row>
    <row r="35" spans="1:7" x14ac:dyDescent="0.35">
      <c r="A35" s="1" t="s">
        <v>85</v>
      </c>
      <c r="B35">
        <v>6.9628636772691996E-3</v>
      </c>
      <c r="C35">
        <v>6.8007897144920001E-3</v>
      </c>
      <c r="E35">
        <v>2.1349205787224998E-3</v>
      </c>
      <c r="F35">
        <v>1.55570379112293E-2</v>
      </c>
      <c r="G35">
        <v>0</v>
      </c>
    </row>
    <row r="36" spans="1:7" x14ac:dyDescent="0.35">
      <c r="A36" s="1" t="s">
        <v>92</v>
      </c>
      <c r="B36">
        <v>0</v>
      </c>
      <c r="C36">
        <v>2.5849174125213998E-3</v>
      </c>
      <c r="D36">
        <v>0</v>
      </c>
      <c r="E36">
        <v>2.9171425241221001E-3</v>
      </c>
      <c r="F36">
        <v>1.1239810200058E-3</v>
      </c>
      <c r="G36">
        <v>8.3666002653407599E-5</v>
      </c>
    </row>
    <row r="37" spans="1:7" x14ac:dyDescent="0.35">
      <c r="A37" s="1" t="s">
        <v>36</v>
      </c>
      <c r="B37">
        <v>7.7969431635119E-3</v>
      </c>
      <c r="C37">
        <v>8.0285288417193002E-3</v>
      </c>
      <c r="D37">
        <v>0</v>
      </c>
      <c r="E37">
        <v>2.243777772902E-3</v>
      </c>
      <c r="F37">
        <v>2.7302454102149799E-2</v>
      </c>
      <c r="G37">
        <v>3.3082388735460001E-4</v>
      </c>
    </row>
    <row r="38" spans="1:7" x14ac:dyDescent="0.35">
      <c r="A38" s="1" t="s">
        <v>37</v>
      </c>
      <c r="B38">
        <v>6.0806575677517004E-3</v>
      </c>
      <c r="C38">
        <v>2.5843607235513E-3</v>
      </c>
      <c r="D38">
        <v>0</v>
      </c>
      <c r="E38">
        <v>2.1406702464852002E-3</v>
      </c>
      <c r="F38">
        <v>4.4777784670525997E-3</v>
      </c>
      <c r="G38">
        <v>1.8032378286478E-3</v>
      </c>
    </row>
    <row r="39" spans="1:7" x14ac:dyDescent="0.35">
      <c r="A39" s="1" t="s">
        <v>75</v>
      </c>
      <c r="B39">
        <v>8.9912327667938004E-3</v>
      </c>
      <c r="C39">
        <v>3.3818238562847002E-3</v>
      </c>
      <c r="D39">
        <v>0</v>
      </c>
      <c r="E39">
        <v>6.1407770298401E-3</v>
      </c>
      <c r="F39">
        <v>1.489322313128E-2</v>
      </c>
      <c r="G39">
        <v>4.0682006354476E-3</v>
      </c>
    </row>
    <row r="40" spans="1:7" x14ac:dyDescent="0.35">
      <c r="A40" s="1" t="s">
        <v>38</v>
      </c>
      <c r="B40">
        <v>1.7326730208269E-3</v>
      </c>
      <c r="C40">
        <v>2.4946707698961998E-3</v>
      </c>
      <c r="D40">
        <v>0</v>
      </c>
      <c r="E40">
        <v>2.711300082192E-3</v>
      </c>
      <c r="F40">
        <v>4.7034857050677996E-3</v>
      </c>
      <c r="G40">
        <v>3.337890823786E-3</v>
      </c>
    </row>
    <row r="41" spans="1:7" x14ac:dyDescent="0.35">
      <c r="A41" s="1" t="s">
        <v>93</v>
      </c>
      <c r="C41">
        <v>5.4557882106987003E-3</v>
      </c>
      <c r="E41">
        <v>5.5343013293451997E-3</v>
      </c>
      <c r="F41">
        <v>1.5744925486372699E-2</v>
      </c>
      <c r="G41">
        <v>5.3452248382484972E-5</v>
      </c>
    </row>
    <row r="42" spans="1:7" x14ac:dyDescent="0.35">
      <c r="A42" s="1" t="s">
        <v>91</v>
      </c>
      <c r="B42">
        <v>9.9517111873062003E-3</v>
      </c>
      <c r="C42">
        <v>5.0345879695751997E-3</v>
      </c>
      <c r="E42">
        <v>2.2885467060419001E-3</v>
      </c>
      <c r="G42">
        <v>8.9442719099991564E-5</v>
      </c>
    </row>
    <row r="43" spans="1:7" x14ac:dyDescent="0.35">
      <c r="A43" s="1" t="s">
        <v>39</v>
      </c>
      <c r="B43">
        <v>5.9511131647078004E-3</v>
      </c>
      <c r="C43">
        <v>3.9749549263690996E-3</v>
      </c>
      <c r="E43">
        <v>2.6018855610887002E-3</v>
      </c>
      <c r="F43">
        <v>2.82616937449497E-2</v>
      </c>
      <c r="G43">
        <v>1.3662601021270001E-4</v>
      </c>
    </row>
    <row r="44" spans="1:7" x14ac:dyDescent="0.35">
      <c r="A44" s="1" t="s">
        <v>40</v>
      </c>
      <c r="B44">
        <v>1.1824228556332099E-2</v>
      </c>
      <c r="C44">
        <v>6.3865711979642003E-3</v>
      </c>
      <c r="E44">
        <v>2.5228274993836998E-3</v>
      </c>
      <c r="F44">
        <v>2.48260615751539E-2</v>
      </c>
      <c r="G44">
        <v>7.8679579246944379E-5</v>
      </c>
    </row>
    <row r="45" spans="1:7" x14ac:dyDescent="0.35">
      <c r="A45" s="1" t="s">
        <v>41</v>
      </c>
      <c r="B45">
        <v>0</v>
      </c>
      <c r="C45">
        <v>2.7889175721929998E-4</v>
      </c>
      <c r="D45">
        <v>0</v>
      </c>
      <c r="E45">
        <v>1.9717921568412999E-3</v>
      </c>
      <c r="F45">
        <v>1.93694777076375E-2</v>
      </c>
      <c r="G45">
        <v>3.7894978714389998E-4</v>
      </c>
    </row>
    <row r="46" spans="1:7" x14ac:dyDescent="0.35">
      <c r="A46" s="1" t="s">
        <v>42</v>
      </c>
      <c r="C46">
        <v>4.1435687770735004E-3</v>
      </c>
      <c r="D46">
        <v>0</v>
      </c>
      <c r="E46">
        <v>2.4039326360423999E-3</v>
      </c>
      <c r="F46">
        <v>2.2818620564014E-2</v>
      </c>
      <c r="G46">
        <v>9.31532942621141E-5</v>
      </c>
    </row>
    <row r="47" spans="1:7" x14ac:dyDescent="0.35">
      <c r="A47" s="1" t="s">
        <v>43</v>
      </c>
      <c r="B47">
        <v>5.8975568960142003E-3</v>
      </c>
      <c r="C47">
        <v>3.3759913751079998E-3</v>
      </c>
      <c r="D47">
        <v>0</v>
      </c>
      <c r="E47">
        <v>2.0120313614750002E-3</v>
      </c>
      <c r="F47">
        <v>1.48718758839526E-2</v>
      </c>
      <c r="G47">
        <v>3.223655382169E-4</v>
      </c>
    </row>
    <row r="48" spans="1:7" x14ac:dyDescent="0.35">
      <c r="A48" s="1" t="s">
        <v>44</v>
      </c>
      <c r="B48">
        <v>0</v>
      </c>
      <c r="C48">
        <v>5.3552212593730997E-3</v>
      </c>
      <c r="D48">
        <v>0</v>
      </c>
      <c r="E48">
        <v>2.1259005739215002E-3</v>
      </c>
      <c r="F48">
        <v>1.85143998012357E-2</v>
      </c>
      <c r="G48">
        <v>9.4868329805051366E-5</v>
      </c>
    </row>
    <row r="49" spans="1:7" x14ac:dyDescent="0.35">
      <c r="A49" s="1" t="s">
        <v>45</v>
      </c>
      <c r="B49">
        <v>2.8876377218936002E-3</v>
      </c>
      <c r="C49">
        <v>5.9104674714437E-3</v>
      </c>
      <c r="D49">
        <v>0</v>
      </c>
      <c r="E49">
        <v>2.7125876333942002E-3</v>
      </c>
      <c r="F49">
        <v>2.9849008917103601E-2</v>
      </c>
      <c r="G49">
        <v>1.4123604018669001E-3</v>
      </c>
    </row>
    <row r="50" spans="1:7" x14ac:dyDescent="0.35">
      <c r="A50" s="1" t="s">
        <v>46</v>
      </c>
      <c r="B50">
        <v>6.6046750718133001E-3</v>
      </c>
      <c r="C50">
        <v>3.7836888072485999E-3</v>
      </c>
      <c r="D50">
        <v>0</v>
      </c>
      <c r="E50">
        <v>5.8937247090005999E-3</v>
      </c>
      <c r="F50">
        <v>2.5010886518563102E-2</v>
      </c>
      <c r="G50">
        <v>3.6471242303374998E-3</v>
      </c>
    </row>
    <row r="51" spans="1:7" x14ac:dyDescent="0.35">
      <c r="A51" s="1" t="s">
        <v>47</v>
      </c>
      <c r="B51">
        <v>2.6349880560139001E-3</v>
      </c>
      <c r="C51">
        <v>5.8371780047230997E-3</v>
      </c>
      <c r="D51">
        <v>0</v>
      </c>
      <c r="E51">
        <v>2.3836275435463999E-3</v>
      </c>
      <c r="F51">
        <v>1.83000910744546E-2</v>
      </c>
      <c r="G51">
        <v>3.1622776601683748E-5</v>
      </c>
    </row>
    <row r="52" spans="1:7" x14ac:dyDescent="0.35">
      <c r="A52" s="1" t="s">
        <v>48</v>
      </c>
      <c r="C52">
        <v>5.0504829675118998E-3</v>
      </c>
      <c r="D52">
        <v>0</v>
      </c>
      <c r="E52">
        <v>2.4834854750196999E-3</v>
      </c>
      <c r="F52">
        <v>1.64243431411745E-2</v>
      </c>
      <c r="G52">
        <v>1.7659566645805E-3</v>
      </c>
    </row>
    <row r="53" spans="1:7" x14ac:dyDescent="0.35">
      <c r="A53" s="1" t="s">
        <v>49</v>
      </c>
      <c r="B53">
        <v>7.3060105032557998E-3</v>
      </c>
      <c r="C53">
        <v>4.4554359035798999E-3</v>
      </c>
      <c r="D53">
        <v>0</v>
      </c>
      <c r="E53">
        <v>5.2583122062986E-3</v>
      </c>
      <c r="F53">
        <v>3.6486709909225798E-2</v>
      </c>
      <c r="G53">
        <v>3.9099587948951001E-3</v>
      </c>
    </row>
    <row r="54" spans="1:7" x14ac:dyDescent="0.35">
      <c r="A54" s="1" t="s">
        <v>50</v>
      </c>
      <c r="B54">
        <v>5.5497615211083998E-3</v>
      </c>
      <c r="C54">
        <v>3.6136594128887999E-3</v>
      </c>
      <c r="D54">
        <v>0</v>
      </c>
      <c r="E54">
        <v>2.6968176771277001E-3</v>
      </c>
      <c r="F54">
        <v>9.8691910020264999E-3</v>
      </c>
      <c r="G54">
        <v>9.850159441635001E-4</v>
      </c>
    </row>
    <row r="55" spans="1:7" x14ac:dyDescent="0.35">
      <c r="A55" s="1" t="s">
        <v>51</v>
      </c>
      <c r="C55">
        <v>4.3155654627357E-3</v>
      </c>
      <c r="E55">
        <v>2.3363683916698E-3</v>
      </c>
      <c r="F55">
        <v>1.8664083154551099E-2</v>
      </c>
      <c r="G55">
        <v>1.195228609334E-4</v>
      </c>
    </row>
    <row r="56" spans="1:7" x14ac:dyDescent="0.35">
      <c r="A56" s="1" t="s">
        <v>52</v>
      </c>
      <c r="B56">
        <v>4.7922024567874002E-3</v>
      </c>
      <c r="C56">
        <v>4.2657922171881997E-3</v>
      </c>
      <c r="E56">
        <v>3.5495726605762E-3</v>
      </c>
      <c r="F56">
        <v>2.0403192560642699E-2</v>
      </c>
      <c r="G56">
        <v>2.6230841408500001E-4</v>
      </c>
    </row>
    <row r="57" spans="1:7" x14ac:dyDescent="0.35">
      <c r="A57" s="1" t="s">
        <v>53</v>
      </c>
      <c r="B57">
        <v>4.8214664398268997E-3</v>
      </c>
      <c r="C57">
        <v>3.1726469606121999E-3</v>
      </c>
      <c r="D57">
        <v>0</v>
      </c>
      <c r="E57">
        <v>2.7723061382116001E-3</v>
      </c>
      <c r="F57">
        <v>2.10149867158336E-2</v>
      </c>
      <c r="G57">
        <v>8.0622577482985396E-5</v>
      </c>
    </row>
    <row r="58" spans="1:7" x14ac:dyDescent="0.35">
      <c r="A58" s="1" t="s">
        <v>86</v>
      </c>
      <c r="B58">
        <v>4.2100646381857997E-3</v>
      </c>
      <c r="C58">
        <v>2.9956438048110001E-3</v>
      </c>
      <c r="D58">
        <v>0</v>
      </c>
      <c r="E58">
        <v>3.0071366648877001E-3</v>
      </c>
      <c r="F58">
        <v>1.4522090452517801E-2</v>
      </c>
      <c r="G58">
        <v>6.6790535330650005E-4</v>
      </c>
    </row>
    <row r="59" spans="1:7" x14ac:dyDescent="0.35">
      <c r="A59" s="1" t="s">
        <v>54</v>
      </c>
      <c r="B59">
        <v>3.9786010941870002E-3</v>
      </c>
      <c r="C59">
        <v>7.5492830371879998E-4</v>
      </c>
      <c r="D59">
        <v>0</v>
      </c>
      <c r="E59">
        <v>4.7025961972147999E-3</v>
      </c>
      <c r="F59">
        <v>2.6697989936822299E-2</v>
      </c>
      <c r="G59">
        <v>1.7658077253984001E-3</v>
      </c>
    </row>
    <row r="60" spans="1:7" x14ac:dyDescent="0.35">
      <c r="A60" s="1" t="s">
        <v>77</v>
      </c>
      <c r="B60">
        <v>0</v>
      </c>
      <c r="C60">
        <v>1.5428932174714001E-3</v>
      </c>
      <c r="D60">
        <v>0</v>
      </c>
      <c r="E60">
        <v>1.7416531301508999E-3</v>
      </c>
      <c r="F60">
        <v>2.1213203435595999E-3</v>
      </c>
      <c r="G60">
        <v>5.43241300999E-4</v>
      </c>
    </row>
    <row r="61" spans="1:7" x14ac:dyDescent="0.35">
      <c r="A61" s="1" t="s">
        <v>78</v>
      </c>
      <c r="B61">
        <v>0</v>
      </c>
      <c r="C61">
        <v>3.7903130631590002E-3</v>
      </c>
      <c r="E61">
        <v>3.2508283531789998E-3</v>
      </c>
      <c r="F61">
        <v>1.6396131981031101E-2</v>
      </c>
      <c r="G61">
        <v>2.3691642129873998E-3</v>
      </c>
    </row>
    <row r="62" spans="1:7" x14ac:dyDescent="0.35">
      <c r="A62" s="1" t="s">
        <v>70</v>
      </c>
      <c r="C62">
        <v>3.7980457494810999E-3</v>
      </c>
      <c r="D62">
        <v>0</v>
      </c>
      <c r="E62">
        <v>2.3404340219144999E-3</v>
      </c>
      <c r="F62">
        <v>2.16674871639514E-2</v>
      </c>
      <c r="G62">
        <v>0</v>
      </c>
    </row>
    <row r="63" spans="1:7" x14ac:dyDescent="0.35">
      <c r="A63" s="1" t="s">
        <v>79</v>
      </c>
      <c r="B63">
        <v>9.1234064611056993E-3</v>
      </c>
      <c r="C63">
        <v>6.4766547519963004E-3</v>
      </c>
      <c r="D63">
        <v>2.0095012411279999E-3</v>
      </c>
      <c r="E63">
        <v>8.1610211549684002E-3</v>
      </c>
      <c r="F63">
        <v>2.0144846205147102E-2</v>
      </c>
      <c r="G63">
        <v>5.1590354000048343E-5</v>
      </c>
    </row>
    <row r="64" spans="1:7" x14ac:dyDescent="0.35">
      <c r="A64" s="1" t="s">
        <v>80</v>
      </c>
      <c r="B64">
        <v>7.9249034844656001E-3</v>
      </c>
      <c r="C64">
        <v>2.3916062008149999E-4</v>
      </c>
      <c r="D64">
        <v>0</v>
      </c>
      <c r="E64">
        <v>2.7890903999778999E-3</v>
      </c>
      <c r="F64">
        <v>3.5355339059319998E-4</v>
      </c>
      <c r="G64">
        <v>8.1649658092772541E-5</v>
      </c>
    </row>
    <row r="65" spans="1:7" x14ac:dyDescent="0.35">
      <c r="A65" s="1" t="s">
        <v>89</v>
      </c>
      <c r="B65">
        <v>9.3739659747214994E-3</v>
      </c>
      <c r="C65">
        <v>6.8683088651185003E-3</v>
      </c>
      <c r="D65">
        <v>0</v>
      </c>
      <c r="E65">
        <v>2.0702614135478001E-3</v>
      </c>
      <c r="F65">
        <v>2.2320002240143199E-2</v>
      </c>
      <c r="G65">
        <v>0</v>
      </c>
    </row>
    <row r="66" spans="1:7" x14ac:dyDescent="0.35">
      <c r="A66" s="1" t="s">
        <v>72</v>
      </c>
      <c r="B66">
        <v>2.5000000000000001E-3</v>
      </c>
      <c r="C66">
        <v>4.6864241622553999E-3</v>
      </c>
      <c r="D66">
        <v>0</v>
      </c>
      <c r="E66">
        <v>2.3528227356131E-3</v>
      </c>
      <c r="F66">
        <v>2.1750459765255501E-2</v>
      </c>
      <c r="G66">
        <v>5.4772255750516641E-5</v>
      </c>
    </row>
    <row r="67" spans="1:7" x14ac:dyDescent="0.35">
      <c r="A67" s="1" t="s">
        <v>81</v>
      </c>
      <c r="B67">
        <v>5.2222010552291E-3</v>
      </c>
      <c r="C67">
        <v>3.5687046004470998E-3</v>
      </c>
      <c r="E67">
        <v>2.3398231935403998E-3</v>
      </c>
      <c r="F67">
        <v>1.61044869523993E-2</v>
      </c>
      <c r="G67">
        <v>2.916267371935E-4</v>
      </c>
    </row>
    <row r="68" spans="1:7" x14ac:dyDescent="0.35">
      <c r="A68" s="1" t="s">
        <v>82</v>
      </c>
      <c r="B68">
        <v>1.09758826524339E-2</v>
      </c>
      <c r="C68">
        <v>6.6455253017309998E-3</v>
      </c>
      <c r="D68">
        <v>3.5679125549821999E-3</v>
      </c>
      <c r="E68">
        <v>6.0583821130559996E-3</v>
      </c>
      <c r="F68">
        <v>1.9247484684152001E-2</v>
      </c>
      <c r="G68">
        <v>3.297381881542E-4</v>
      </c>
    </row>
    <row r="69" spans="1:7" x14ac:dyDescent="0.35">
      <c r="A69" s="1" t="s">
        <v>83</v>
      </c>
      <c r="B69">
        <v>0</v>
      </c>
      <c r="C69">
        <v>6.5490966298158999E-3</v>
      </c>
      <c r="E69">
        <v>2.2803111590602001E-3</v>
      </c>
      <c r="F69">
        <v>1.5713228048821901E-2</v>
      </c>
      <c r="G69">
        <v>5.1754916950676697E-5</v>
      </c>
    </row>
    <row r="70" spans="1:7" x14ac:dyDescent="0.35">
      <c r="A70" s="1" t="s">
        <v>87</v>
      </c>
      <c r="B70">
        <v>4.2179587669164001E-3</v>
      </c>
      <c r="C70">
        <v>5.4639643716464003E-3</v>
      </c>
      <c r="D70">
        <v>0</v>
      </c>
      <c r="E70">
        <v>2.6111200266161001E-3</v>
      </c>
      <c r="F70">
        <v>1.8366681790677301E-2</v>
      </c>
      <c r="G70">
        <v>3.9172349105870001E-4</v>
      </c>
    </row>
    <row r="71" spans="1:7" x14ac:dyDescent="0.35">
      <c r="A71" s="1" t="s">
        <v>73</v>
      </c>
      <c r="B71">
        <v>1.9714630776828E-3</v>
      </c>
      <c r="C71">
        <v>5.7908269245926999E-3</v>
      </c>
      <c r="E71">
        <v>2.3123715352446998E-3</v>
      </c>
      <c r="F71">
        <v>1.6691086871512599E-2</v>
      </c>
      <c r="G71">
        <v>7.5075719352954776E-5</v>
      </c>
    </row>
    <row r="72" spans="1:7" x14ac:dyDescent="0.35">
      <c r="A72" s="1" t="s">
        <v>55</v>
      </c>
      <c r="B72">
        <v>0</v>
      </c>
      <c r="C72">
        <v>3.4872232229169E-3</v>
      </c>
      <c r="D72">
        <v>0</v>
      </c>
      <c r="E72">
        <v>3.4179949291635002E-3</v>
      </c>
      <c r="F72">
        <v>1.08107199883572E-2</v>
      </c>
      <c r="G72">
        <v>2.6893769795272998E-3</v>
      </c>
    </row>
    <row r="73" spans="1:7" x14ac:dyDescent="0.35">
      <c r="A73" s="1" t="s">
        <v>56</v>
      </c>
      <c r="B73">
        <v>0</v>
      </c>
      <c r="C73">
        <v>4.6888164818000002E-3</v>
      </c>
      <c r="D73">
        <v>0</v>
      </c>
      <c r="E73">
        <v>2.4258436438516001E-3</v>
      </c>
      <c r="F73">
        <v>2.26134731226025E-2</v>
      </c>
      <c r="G73">
        <v>1.214985792587E-4</v>
      </c>
    </row>
    <row r="74" spans="1:7" x14ac:dyDescent="0.35">
      <c r="A74" s="1" t="s">
        <v>57</v>
      </c>
      <c r="B74">
        <v>8.8426240449313992E-3</v>
      </c>
      <c r="C74">
        <v>2.3889208824186998E-3</v>
      </c>
      <c r="D74">
        <v>0</v>
      </c>
      <c r="E74">
        <v>3.4217032431536E-3</v>
      </c>
      <c r="F74">
        <v>7.2080845941541998E-3</v>
      </c>
      <c r="G74">
        <v>2.6532100952476002E-3</v>
      </c>
    </row>
    <row r="75" spans="1:7" x14ac:dyDescent="0.35">
      <c r="A75" s="1" t="s">
        <v>58</v>
      </c>
      <c r="B75">
        <v>5.2065053038473997E-3</v>
      </c>
      <c r="C75">
        <v>3.2429354730638001E-3</v>
      </c>
      <c r="D75">
        <v>0</v>
      </c>
      <c r="E75">
        <v>4.8074903189825003E-3</v>
      </c>
      <c r="F75">
        <v>1.03397555800195E-2</v>
      </c>
      <c r="G75">
        <v>3.6095772077970002E-3</v>
      </c>
    </row>
    <row r="76" spans="1:7" x14ac:dyDescent="0.35">
      <c r="A76" s="1" t="s">
        <v>59</v>
      </c>
      <c r="B76">
        <v>0</v>
      </c>
      <c r="C76">
        <v>2.6294935936677002E-3</v>
      </c>
      <c r="D76">
        <v>0</v>
      </c>
      <c r="E76">
        <v>3.7998774067175998E-3</v>
      </c>
      <c r="F76">
        <v>2.83240033658144E-2</v>
      </c>
      <c r="G76">
        <v>8.3666002653407748E-5</v>
      </c>
    </row>
    <row r="77" spans="1:7" x14ac:dyDescent="0.35">
      <c r="A77" s="1" t="s">
        <v>60</v>
      </c>
      <c r="C77">
        <v>6.6489439674546997E-3</v>
      </c>
      <c r="E77">
        <v>7.5568052311109002E-3</v>
      </c>
      <c r="F77">
        <v>2.6327172275046901E-2</v>
      </c>
      <c r="G77">
        <v>3.1622776601683877E-5</v>
      </c>
    </row>
    <row r="78" spans="1:7" x14ac:dyDescent="0.35">
      <c r="A78" s="1" t="s">
        <v>61</v>
      </c>
      <c r="B78">
        <v>2.4773818104847E-3</v>
      </c>
      <c r="C78">
        <v>3.8163923070808001E-3</v>
      </c>
      <c r="E78">
        <v>1.9684800193242999E-3</v>
      </c>
      <c r="F78">
        <v>1.8252725823832399E-2</v>
      </c>
      <c r="G78">
        <v>9.4590530292691676E-5</v>
      </c>
    </row>
    <row r="79" spans="1:7" x14ac:dyDescent="0.35">
      <c r="A79" s="1" t="s">
        <v>62</v>
      </c>
      <c r="B79">
        <v>0</v>
      </c>
      <c r="C79">
        <v>2.2899583034458001E-3</v>
      </c>
      <c r="D79">
        <v>0</v>
      </c>
      <c r="E79">
        <v>1.8140346100727E-3</v>
      </c>
      <c r="F79">
        <v>1.22278033932581E-2</v>
      </c>
      <c r="G79">
        <v>3.7059695797880002E-4</v>
      </c>
    </row>
    <row r="80" spans="1:7" x14ac:dyDescent="0.35">
      <c r="A80" s="1" t="s">
        <v>63</v>
      </c>
      <c r="B80">
        <v>4.2486076150505996E-3</v>
      </c>
      <c r="C80">
        <v>1.3775596010864E-3</v>
      </c>
      <c r="D80">
        <v>0</v>
      </c>
      <c r="E80">
        <v>3.7164283667298998E-3</v>
      </c>
      <c r="G80">
        <v>2.0650042189404999E-3</v>
      </c>
    </row>
    <row r="81" spans="1:7" x14ac:dyDescent="0.35">
      <c r="A81" s="1" t="s">
        <v>64</v>
      </c>
      <c r="B81">
        <v>0</v>
      </c>
      <c r="C81">
        <v>2.6885810528461999E-3</v>
      </c>
      <c r="D81">
        <v>0</v>
      </c>
      <c r="E81">
        <v>3.7631073904801E-3</v>
      </c>
      <c r="F81">
        <v>1.47887041092439E-2</v>
      </c>
      <c r="G81">
        <v>1.3684473761690001E-3</v>
      </c>
    </row>
    <row r="82" spans="1:7" x14ac:dyDescent="0.35">
      <c r="A82" s="1" t="s">
        <v>88</v>
      </c>
      <c r="B82">
        <v>7.6606147886050004E-3</v>
      </c>
      <c r="C82">
        <v>6.1784069482593998E-3</v>
      </c>
      <c r="E82">
        <v>2.3127513068877999E-3</v>
      </c>
      <c r="F82">
        <v>2.90620887067671E-2</v>
      </c>
      <c r="G82">
        <v>6.4086994446165669E-5</v>
      </c>
    </row>
    <row r="83" spans="1:7" x14ac:dyDescent="0.35">
      <c r="A83" s="1" t="s">
        <v>65</v>
      </c>
      <c r="B83">
        <v>0</v>
      </c>
      <c r="C83">
        <v>2.4473401243410001E-4</v>
      </c>
      <c r="D83">
        <v>0</v>
      </c>
      <c r="E83">
        <v>2.3617256454887998E-3</v>
      </c>
      <c r="F83">
        <v>2.5576616925100399E-2</v>
      </c>
      <c r="G8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71EF-D7C1-452E-A5EC-CEC04EF72F2D}">
  <sheetPr>
    <tabColor rgb="FFFF0000"/>
  </sheetPr>
  <dimension ref="A1:G83"/>
  <sheetViews>
    <sheetView workbookViewId="0">
      <selection activeCell="K30" sqref="K30"/>
    </sheetView>
  </sheetViews>
  <sheetFormatPr defaultRowHeight="14.5" x14ac:dyDescent="0.35"/>
  <cols>
    <col min="2" max="7" width="11.81640625" bestFit="1" customWidth="1"/>
  </cols>
  <sheetData>
    <row r="1" spans="1:7" x14ac:dyDescent="0.35">
      <c r="A1" s="1" t="s">
        <v>6</v>
      </c>
      <c r="B1" s="1" t="s">
        <v>0</v>
      </c>
      <c r="C1" s="1" t="s">
        <v>1</v>
      </c>
      <c r="D1" s="1" t="s">
        <v>2</v>
      </c>
      <c r="E1" s="1" t="s">
        <v>3</v>
      </c>
      <c r="F1" s="1" t="s">
        <v>4</v>
      </c>
      <c r="G1" s="1" t="s">
        <v>5</v>
      </c>
    </row>
    <row r="2" spans="1:7" x14ac:dyDescent="0.35">
      <c r="A2" s="1" t="s">
        <v>7</v>
      </c>
      <c r="B2">
        <v>3.5000000000000001E-3</v>
      </c>
      <c r="C2">
        <v>1.0800000000000001E-2</v>
      </c>
      <c r="E2">
        <v>8.9999999999999998E-4</v>
      </c>
      <c r="F2">
        <v>1.5E-3</v>
      </c>
      <c r="G2">
        <v>2.5999999999999999E-3</v>
      </c>
    </row>
    <row r="3" spans="1:7" x14ac:dyDescent="0.35">
      <c r="A3" s="1" t="s">
        <v>8</v>
      </c>
      <c r="B3">
        <v>4.4000000000000003E-3</v>
      </c>
      <c r="C3">
        <v>1.2699999999999999E-2</v>
      </c>
      <c r="E3">
        <v>2E-3</v>
      </c>
      <c r="F3">
        <v>1.9E-3</v>
      </c>
      <c r="G3">
        <v>3.5999999999999999E-3</v>
      </c>
    </row>
    <row r="4" spans="1:7" x14ac:dyDescent="0.35">
      <c r="A4" s="1" t="s">
        <v>9</v>
      </c>
      <c r="B4">
        <v>3.3999999999999998E-3</v>
      </c>
      <c r="C4">
        <v>8.5000000000000006E-3</v>
      </c>
      <c r="D4">
        <v>5.1000000000000004E-3</v>
      </c>
      <c r="E4">
        <v>1.5E-3</v>
      </c>
      <c r="F4">
        <v>1.6999999999999999E-3</v>
      </c>
      <c r="G4">
        <v>2.7000000000000001E-3</v>
      </c>
    </row>
    <row r="5" spans="1:7" x14ac:dyDescent="0.35">
      <c r="A5" s="1" t="s">
        <v>10</v>
      </c>
      <c r="B5">
        <v>3.0000000000000001E-3</v>
      </c>
      <c r="C5">
        <v>1.2E-2</v>
      </c>
      <c r="D5">
        <v>1.18E-2</v>
      </c>
      <c r="E5">
        <v>2E-3</v>
      </c>
      <c r="F5">
        <v>1.6999999999999999E-3</v>
      </c>
      <c r="G5">
        <v>3.3E-3</v>
      </c>
    </row>
    <row r="6" spans="1:7" x14ac:dyDescent="0.35">
      <c r="A6" s="1" t="s">
        <v>11</v>
      </c>
      <c r="C6">
        <v>9.9000000000000008E-3</v>
      </c>
      <c r="E6">
        <v>1.6000000000000001E-3</v>
      </c>
      <c r="F6">
        <v>3.9699999999999999E-2</v>
      </c>
      <c r="G6">
        <v>2.5000000000000001E-3</v>
      </c>
    </row>
    <row r="7" spans="1:7" x14ac:dyDescent="0.35">
      <c r="A7" s="1" t="s">
        <v>12</v>
      </c>
      <c r="B7">
        <v>3.0999999999999999E-3</v>
      </c>
      <c r="C7">
        <v>1.21E-2</v>
      </c>
      <c r="E7">
        <v>2E-3</v>
      </c>
      <c r="F7">
        <v>1.6999999999999999E-3</v>
      </c>
      <c r="G7">
        <v>3.3E-3</v>
      </c>
    </row>
    <row r="8" spans="1:7" x14ac:dyDescent="0.35">
      <c r="A8" s="1" t="s">
        <v>13</v>
      </c>
      <c r="B8">
        <v>4.4000000000000003E-3</v>
      </c>
      <c r="C8">
        <v>1.3599999999999999E-2</v>
      </c>
      <c r="E8">
        <v>2.0999999999999999E-3</v>
      </c>
      <c r="F8">
        <v>1.9E-3</v>
      </c>
      <c r="G8">
        <v>3.5999999999999999E-3</v>
      </c>
    </row>
    <row r="9" spans="1:7" x14ac:dyDescent="0.35">
      <c r="A9" s="1" t="s">
        <v>14</v>
      </c>
      <c r="B9">
        <v>4.0000000000000001E-3</v>
      </c>
      <c r="C9">
        <v>1.09E-2</v>
      </c>
      <c r="E9">
        <v>1.1000000000000001E-3</v>
      </c>
      <c r="F9">
        <v>1.6999999999999999E-3</v>
      </c>
      <c r="G9">
        <v>2.8E-3</v>
      </c>
    </row>
    <row r="10" spans="1:7" x14ac:dyDescent="0.35">
      <c r="A10" s="1" t="s">
        <v>15</v>
      </c>
      <c r="C10">
        <v>1.14E-2</v>
      </c>
      <c r="D10">
        <v>5.9999999999999995E-4</v>
      </c>
      <c r="E10">
        <v>5.9999999999999995E-4</v>
      </c>
      <c r="F10">
        <v>4.5199999999999997E-2</v>
      </c>
      <c r="G10">
        <v>3.0000000000000001E-3</v>
      </c>
    </row>
    <row r="11" spans="1:7" x14ac:dyDescent="0.35">
      <c r="A11" s="1" t="s">
        <v>16</v>
      </c>
      <c r="B11">
        <v>9.4000000000000004E-3</v>
      </c>
      <c r="C11">
        <v>1.29E-2</v>
      </c>
      <c r="D11">
        <v>1.18E-2</v>
      </c>
      <c r="E11">
        <v>2.0999999999999999E-3</v>
      </c>
      <c r="F11">
        <v>4.8300000000000003E-2</v>
      </c>
      <c r="G11">
        <v>3.3E-3</v>
      </c>
    </row>
    <row r="12" spans="1:7" x14ac:dyDescent="0.35">
      <c r="A12" s="1" t="s">
        <v>76</v>
      </c>
      <c r="B12">
        <v>3.3999999999999998E-3</v>
      </c>
      <c r="C12">
        <v>9.4999999999999998E-3</v>
      </c>
      <c r="E12">
        <v>1.6000000000000001E-3</v>
      </c>
      <c r="F12">
        <v>1.2999999999999999E-3</v>
      </c>
      <c r="G12">
        <v>2.7000000000000001E-3</v>
      </c>
    </row>
    <row r="13" spans="1:7" x14ac:dyDescent="0.35">
      <c r="A13" s="1" t="s">
        <v>17</v>
      </c>
      <c r="B13">
        <v>4.1000000000000003E-3</v>
      </c>
      <c r="C13">
        <v>1.26E-2</v>
      </c>
      <c r="E13">
        <v>8.9999999999999998E-4</v>
      </c>
      <c r="F13">
        <v>1.8E-3</v>
      </c>
      <c r="G13">
        <v>3.0999999999999999E-3</v>
      </c>
    </row>
    <row r="14" spans="1:7" x14ac:dyDescent="0.35">
      <c r="A14" s="1" t="s">
        <v>18</v>
      </c>
      <c r="B14">
        <v>2.7000000000000001E-3</v>
      </c>
      <c r="C14">
        <v>1.0699999999999999E-2</v>
      </c>
      <c r="E14">
        <v>1.9E-3</v>
      </c>
      <c r="F14">
        <v>1.6000000000000001E-3</v>
      </c>
      <c r="G14">
        <v>2.8999999999999998E-3</v>
      </c>
    </row>
    <row r="15" spans="1:7" x14ac:dyDescent="0.35">
      <c r="A15" s="1" t="s">
        <v>19</v>
      </c>
      <c r="B15">
        <v>3.8E-3</v>
      </c>
      <c r="C15">
        <v>1.09E-2</v>
      </c>
      <c r="E15">
        <v>8.9999999999999998E-4</v>
      </c>
      <c r="F15">
        <v>1.6000000000000001E-3</v>
      </c>
      <c r="G15">
        <v>2.7000000000000001E-3</v>
      </c>
    </row>
    <row r="16" spans="1:7" x14ac:dyDescent="0.35">
      <c r="A16" s="1" t="s">
        <v>20</v>
      </c>
      <c r="B16">
        <v>3.3E-3</v>
      </c>
      <c r="C16">
        <v>1.03E-2</v>
      </c>
      <c r="E16">
        <v>1.5E-3</v>
      </c>
      <c r="F16">
        <v>1.5E-3</v>
      </c>
      <c r="G16">
        <v>2.5000000000000001E-3</v>
      </c>
    </row>
    <row r="17" spans="1:7" x14ac:dyDescent="0.35">
      <c r="A17" s="1" t="s">
        <v>90</v>
      </c>
      <c r="B17">
        <v>2.5999999999999999E-3</v>
      </c>
      <c r="C17">
        <v>7.4000000000000003E-3</v>
      </c>
      <c r="E17">
        <v>1.2999999999999999E-3</v>
      </c>
      <c r="F17">
        <v>1.2999999999999999E-3</v>
      </c>
      <c r="G17">
        <v>2.0999999999999999E-3</v>
      </c>
    </row>
    <row r="18" spans="1:7" x14ac:dyDescent="0.35">
      <c r="A18" s="1" t="s">
        <v>21</v>
      </c>
      <c r="B18">
        <v>3.8999999999999998E-3</v>
      </c>
      <c r="C18">
        <v>1.14E-2</v>
      </c>
      <c r="D18">
        <v>1.14E-2</v>
      </c>
      <c r="E18">
        <v>2E-3</v>
      </c>
      <c r="F18">
        <v>1.6999999999999999E-3</v>
      </c>
      <c r="G18">
        <v>3.0999999999999999E-3</v>
      </c>
    </row>
    <row r="19" spans="1:7" x14ac:dyDescent="0.35">
      <c r="A19" s="1" t="s">
        <v>22</v>
      </c>
      <c r="B19">
        <v>2.8E-3</v>
      </c>
      <c r="C19">
        <v>1.17E-2</v>
      </c>
      <c r="D19">
        <v>1.17E-2</v>
      </c>
      <c r="E19">
        <v>1.9E-3</v>
      </c>
      <c r="F19">
        <v>1.6999999999999999E-3</v>
      </c>
      <c r="G19">
        <v>3.2000000000000002E-3</v>
      </c>
    </row>
    <row r="20" spans="1:7" x14ac:dyDescent="0.35">
      <c r="A20" s="1" t="s">
        <v>23</v>
      </c>
      <c r="C20">
        <v>1.18E-2</v>
      </c>
      <c r="E20">
        <v>1.9E-3</v>
      </c>
      <c r="F20">
        <v>4.7899999999999998E-2</v>
      </c>
      <c r="G20">
        <v>3.2000000000000002E-3</v>
      </c>
    </row>
    <row r="21" spans="1:7" x14ac:dyDescent="0.35">
      <c r="A21" s="1" t="s">
        <v>84</v>
      </c>
      <c r="B21">
        <v>3.8E-3</v>
      </c>
      <c r="C21">
        <v>1.1599999999999999E-2</v>
      </c>
      <c r="E21">
        <v>1.8E-3</v>
      </c>
      <c r="F21">
        <v>4.5499999999999999E-2</v>
      </c>
      <c r="G21">
        <v>3.0999999999999999E-3</v>
      </c>
    </row>
    <row r="22" spans="1:7" x14ac:dyDescent="0.35">
      <c r="A22" s="1" t="s">
        <v>24</v>
      </c>
      <c r="B22">
        <v>3.0000000000000001E-3</v>
      </c>
      <c r="C22">
        <v>1.21E-2</v>
      </c>
      <c r="D22">
        <v>1.2E-2</v>
      </c>
      <c r="E22">
        <v>2E-3</v>
      </c>
      <c r="F22">
        <v>1.8E-3</v>
      </c>
      <c r="G22">
        <v>3.3E-3</v>
      </c>
    </row>
    <row r="23" spans="1:7" x14ac:dyDescent="0.35">
      <c r="A23" s="1" t="s">
        <v>25</v>
      </c>
      <c r="B23">
        <v>4.1999999999999997E-3</v>
      </c>
      <c r="C23">
        <v>1.3299999999999999E-2</v>
      </c>
      <c r="E23">
        <v>1.6999999999999999E-3</v>
      </c>
      <c r="F23">
        <v>2E-3</v>
      </c>
      <c r="G23">
        <v>3.5000000000000001E-3</v>
      </c>
    </row>
    <row r="24" spans="1:7" x14ac:dyDescent="0.35">
      <c r="A24" s="1" t="s">
        <v>26</v>
      </c>
      <c r="C24">
        <v>1.18E-2</v>
      </c>
      <c r="E24">
        <v>2E-3</v>
      </c>
      <c r="F24">
        <v>1.6999999999999999E-3</v>
      </c>
      <c r="G24">
        <v>3.2000000000000002E-3</v>
      </c>
    </row>
    <row r="25" spans="1:7" x14ac:dyDescent="0.35">
      <c r="A25" s="1" t="s">
        <v>27</v>
      </c>
      <c r="B25">
        <v>4.7999999999999996E-3</v>
      </c>
      <c r="C25">
        <v>1.38E-2</v>
      </c>
      <c r="E25">
        <v>1.8E-3</v>
      </c>
      <c r="F25">
        <v>2.0999999999999999E-3</v>
      </c>
      <c r="G25">
        <v>3.8E-3</v>
      </c>
    </row>
    <row r="26" spans="1:7" x14ac:dyDescent="0.35">
      <c r="A26" s="1" t="s">
        <v>28</v>
      </c>
      <c r="B26">
        <v>2.8E-3</v>
      </c>
      <c r="C26">
        <v>1.1299999999999999E-2</v>
      </c>
      <c r="D26">
        <v>1.1299999999999999E-2</v>
      </c>
      <c r="E26">
        <v>1.9E-3</v>
      </c>
      <c r="F26">
        <v>1.6999999999999999E-3</v>
      </c>
      <c r="G26">
        <v>2.8999999999999998E-3</v>
      </c>
    </row>
    <row r="27" spans="1:7" x14ac:dyDescent="0.35">
      <c r="A27" s="1" t="s">
        <v>29</v>
      </c>
      <c r="B27">
        <v>2.5999999999999999E-3</v>
      </c>
      <c r="C27">
        <v>1.14E-2</v>
      </c>
      <c r="E27">
        <v>1.2999999999999999E-3</v>
      </c>
      <c r="F27">
        <v>1.5E-3</v>
      </c>
      <c r="G27">
        <v>2.5999999999999999E-3</v>
      </c>
    </row>
    <row r="28" spans="1:7" x14ac:dyDescent="0.35">
      <c r="A28" s="1" t="s">
        <v>30</v>
      </c>
      <c r="C28">
        <v>1.2E-2</v>
      </c>
      <c r="D28">
        <v>3.2000000000000002E-3</v>
      </c>
      <c r="E28">
        <v>1.9E-3</v>
      </c>
      <c r="F28">
        <v>1.8E-3</v>
      </c>
      <c r="G28">
        <v>3.2000000000000002E-3</v>
      </c>
    </row>
    <row r="29" spans="1:7" x14ac:dyDescent="0.35">
      <c r="A29" s="1" t="s">
        <v>31</v>
      </c>
      <c r="C29">
        <v>7.7000000000000002E-3</v>
      </c>
      <c r="D29">
        <v>4.1000000000000003E-3</v>
      </c>
      <c r="E29">
        <v>1E-3</v>
      </c>
      <c r="F29">
        <v>1.1999999999999999E-3</v>
      </c>
      <c r="G29">
        <v>1.9E-3</v>
      </c>
    </row>
    <row r="30" spans="1:7" x14ac:dyDescent="0.35">
      <c r="A30" s="1" t="s">
        <v>32</v>
      </c>
      <c r="B30">
        <v>2.3E-3</v>
      </c>
      <c r="C30">
        <v>3.8999999999999998E-3</v>
      </c>
      <c r="E30">
        <v>4.0000000000000002E-4</v>
      </c>
      <c r="F30">
        <v>1E-3</v>
      </c>
      <c r="G30">
        <v>1.1999999999999999E-3</v>
      </c>
    </row>
    <row r="31" spans="1:7" x14ac:dyDescent="0.35">
      <c r="A31" s="1" t="s">
        <v>33</v>
      </c>
      <c r="B31">
        <v>4.1000000000000003E-3</v>
      </c>
      <c r="C31">
        <v>1.1599999999999999E-2</v>
      </c>
      <c r="D31">
        <v>5.9999999999999995E-4</v>
      </c>
      <c r="E31">
        <v>5.9999999999999995E-4</v>
      </c>
      <c r="F31">
        <v>1.6999999999999999E-3</v>
      </c>
      <c r="G31">
        <v>3.0000000000000001E-3</v>
      </c>
    </row>
    <row r="32" spans="1:7" x14ac:dyDescent="0.35">
      <c r="A32" s="1" t="s">
        <v>34</v>
      </c>
      <c r="B32">
        <v>3.3E-3</v>
      </c>
      <c r="C32">
        <v>1.01E-2</v>
      </c>
      <c r="E32">
        <v>8.0000000000000004E-4</v>
      </c>
      <c r="F32">
        <v>1.5E-3</v>
      </c>
      <c r="G32">
        <v>2.7000000000000001E-3</v>
      </c>
    </row>
    <row r="33" spans="1:7" x14ac:dyDescent="0.35">
      <c r="A33" s="1" t="s">
        <v>35</v>
      </c>
      <c r="C33">
        <v>9.2999999999999992E-3</v>
      </c>
      <c r="E33">
        <v>1.5E-3</v>
      </c>
      <c r="F33">
        <v>3.85E-2</v>
      </c>
      <c r="G33">
        <v>2.3999999999999998E-3</v>
      </c>
    </row>
    <row r="34" spans="1:7" x14ac:dyDescent="0.35">
      <c r="A34" s="1" t="s">
        <v>74</v>
      </c>
      <c r="B34">
        <v>4.1999999999999997E-3</v>
      </c>
      <c r="C34">
        <v>9.1999999999999998E-3</v>
      </c>
      <c r="E34">
        <v>8.0000000000000004E-4</v>
      </c>
      <c r="F34">
        <v>1.6999999999999999E-3</v>
      </c>
      <c r="G34">
        <v>2.5999999999999999E-3</v>
      </c>
    </row>
    <row r="35" spans="1:7" x14ac:dyDescent="0.35">
      <c r="A35" s="1" t="s">
        <v>85</v>
      </c>
      <c r="B35">
        <v>3.8E-3</v>
      </c>
      <c r="C35">
        <v>1.1299999999999999E-2</v>
      </c>
      <c r="D35">
        <v>1.12E-2</v>
      </c>
      <c r="E35">
        <v>1.9E-3</v>
      </c>
      <c r="F35">
        <v>1.6000000000000001E-3</v>
      </c>
      <c r="G35">
        <v>3.0999999999999999E-3</v>
      </c>
    </row>
    <row r="36" spans="1:7" x14ac:dyDescent="0.35">
      <c r="A36" s="1" t="s">
        <v>92</v>
      </c>
      <c r="C36">
        <v>1.23E-2</v>
      </c>
      <c r="E36">
        <v>2E-3</v>
      </c>
      <c r="F36">
        <v>4.8899999999999999E-2</v>
      </c>
      <c r="G36">
        <v>3.5000000000000001E-3</v>
      </c>
    </row>
    <row r="37" spans="1:7" x14ac:dyDescent="0.35">
      <c r="A37" s="1" t="s">
        <v>36</v>
      </c>
      <c r="B37">
        <v>5.3E-3</v>
      </c>
      <c r="C37">
        <v>1.26E-2</v>
      </c>
      <c r="E37">
        <v>1.5E-3</v>
      </c>
      <c r="F37">
        <v>1.8E-3</v>
      </c>
      <c r="G37">
        <v>3.0999999999999999E-3</v>
      </c>
    </row>
    <row r="38" spans="1:7" x14ac:dyDescent="0.35">
      <c r="A38" s="1" t="s">
        <v>37</v>
      </c>
      <c r="B38">
        <v>5.9999999999999995E-4</v>
      </c>
      <c r="C38">
        <v>2.3999999999999998E-3</v>
      </c>
      <c r="E38">
        <v>2.9999999999999997E-4</v>
      </c>
      <c r="F38">
        <v>2.9999999999999997E-4</v>
      </c>
      <c r="G38">
        <v>5.0000000000000001E-4</v>
      </c>
    </row>
    <row r="39" spans="1:7" x14ac:dyDescent="0.35">
      <c r="A39" s="1" t="s">
        <v>75</v>
      </c>
      <c r="B39">
        <v>2.2000000000000001E-3</v>
      </c>
      <c r="C39">
        <v>3.5999999999999999E-3</v>
      </c>
      <c r="E39">
        <v>2.9999999999999997E-4</v>
      </c>
      <c r="F39">
        <v>3.3E-3</v>
      </c>
      <c r="G39">
        <v>1.5E-3</v>
      </c>
    </row>
    <row r="40" spans="1:7" x14ac:dyDescent="0.35">
      <c r="A40" s="1" t="s">
        <v>38</v>
      </c>
      <c r="B40">
        <v>8.9999999999999998E-4</v>
      </c>
      <c r="C40">
        <v>2.2000000000000001E-3</v>
      </c>
      <c r="E40">
        <v>2.0000000000000001E-4</v>
      </c>
      <c r="F40">
        <v>4.0000000000000002E-4</v>
      </c>
      <c r="G40">
        <v>5.0000000000000001E-4</v>
      </c>
    </row>
    <row r="41" spans="1:7" x14ac:dyDescent="0.35">
      <c r="A41" s="1" t="s">
        <v>93</v>
      </c>
      <c r="B41">
        <v>3.8999999999999998E-3</v>
      </c>
      <c r="C41">
        <v>1.14E-2</v>
      </c>
      <c r="D41">
        <v>1.1299999999999999E-2</v>
      </c>
      <c r="E41">
        <v>2E-3</v>
      </c>
      <c r="F41">
        <v>1.6999999999999999E-3</v>
      </c>
      <c r="G41">
        <v>3.0999999999999999E-3</v>
      </c>
    </row>
    <row r="42" spans="1:7" x14ac:dyDescent="0.35">
      <c r="A42" s="1" t="s">
        <v>91</v>
      </c>
      <c r="B42">
        <v>4.1999999999999997E-3</v>
      </c>
      <c r="C42">
        <v>1.26E-2</v>
      </c>
      <c r="D42">
        <v>5.1000000000000004E-3</v>
      </c>
      <c r="E42">
        <v>1.8E-3</v>
      </c>
      <c r="F42">
        <v>1.9E-3</v>
      </c>
      <c r="G42">
        <v>3.3E-3</v>
      </c>
    </row>
    <row r="43" spans="1:7" x14ac:dyDescent="0.35">
      <c r="A43" s="1" t="s">
        <v>39</v>
      </c>
      <c r="B43">
        <v>3.2000000000000002E-3</v>
      </c>
      <c r="C43">
        <v>1.35E-2</v>
      </c>
      <c r="E43">
        <v>2.0999999999999999E-3</v>
      </c>
      <c r="F43">
        <v>2E-3</v>
      </c>
      <c r="G43">
        <v>3.5000000000000001E-3</v>
      </c>
    </row>
    <row r="44" spans="1:7" x14ac:dyDescent="0.35">
      <c r="A44" s="1" t="s">
        <v>40</v>
      </c>
      <c r="B44">
        <v>2.8E-3</v>
      </c>
      <c r="C44">
        <v>1.1299999999999999E-2</v>
      </c>
      <c r="E44">
        <v>1.9E-3</v>
      </c>
      <c r="F44">
        <v>1.6999999999999999E-3</v>
      </c>
      <c r="G44">
        <v>2.8999999999999998E-3</v>
      </c>
    </row>
    <row r="45" spans="1:7" x14ac:dyDescent="0.35">
      <c r="A45" s="1" t="s">
        <v>41</v>
      </c>
      <c r="C45">
        <v>1.0200000000000001E-2</v>
      </c>
      <c r="E45">
        <v>8.0000000000000004E-4</v>
      </c>
      <c r="F45">
        <v>1.5E-3</v>
      </c>
      <c r="G45">
        <v>2.5999999999999999E-3</v>
      </c>
    </row>
    <row r="46" spans="1:7" x14ac:dyDescent="0.35">
      <c r="A46" s="1" t="s">
        <v>42</v>
      </c>
      <c r="C46">
        <v>1.2200000000000001E-2</v>
      </c>
      <c r="E46">
        <v>1.9E-3</v>
      </c>
      <c r="F46">
        <v>1.8E-3</v>
      </c>
      <c r="G46">
        <v>3.2000000000000002E-3</v>
      </c>
    </row>
    <row r="47" spans="1:7" x14ac:dyDescent="0.35">
      <c r="A47" s="1" t="s">
        <v>43</v>
      </c>
      <c r="B47">
        <v>3.3E-3</v>
      </c>
      <c r="C47">
        <v>9.5999999999999992E-3</v>
      </c>
      <c r="E47">
        <v>8.0000000000000004E-4</v>
      </c>
      <c r="F47">
        <v>1.5E-3</v>
      </c>
      <c r="G47">
        <v>2.5999999999999999E-3</v>
      </c>
    </row>
    <row r="48" spans="1:7" x14ac:dyDescent="0.35">
      <c r="A48" s="1" t="s">
        <v>44</v>
      </c>
      <c r="C48">
        <v>1.0500000000000001E-2</v>
      </c>
      <c r="E48">
        <v>1.8E-3</v>
      </c>
      <c r="F48">
        <v>1.6000000000000001E-3</v>
      </c>
      <c r="G48">
        <v>2.7000000000000001E-3</v>
      </c>
    </row>
    <row r="49" spans="1:7" x14ac:dyDescent="0.35">
      <c r="A49" s="1" t="s">
        <v>45</v>
      </c>
      <c r="B49">
        <v>4.5999999999999999E-3</v>
      </c>
      <c r="C49">
        <v>1.46E-2</v>
      </c>
      <c r="E49">
        <v>1.8E-3</v>
      </c>
      <c r="F49">
        <v>2E-3</v>
      </c>
      <c r="G49">
        <v>3.8E-3</v>
      </c>
    </row>
    <row r="50" spans="1:7" x14ac:dyDescent="0.35">
      <c r="A50" s="1" t="s">
        <v>46</v>
      </c>
      <c r="B50">
        <v>4.0000000000000001E-3</v>
      </c>
      <c r="C50">
        <v>1.11E-2</v>
      </c>
      <c r="E50">
        <v>1.2999999999999999E-3</v>
      </c>
      <c r="F50">
        <v>4.1000000000000003E-3</v>
      </c>
      <c r="G50">
        <v>2.7000000000000001E-3</v>
      </c>
    </row>
    <row r="51" spans="1:7" x14ac:dyDescent="0.35">
      <c r="A51" s="1" t="s">
        <v>47</v>
      </c>
      <c r="B51">
        <v>4.4000000000000003E-3</v>
      </c>
      <c r="C51">
        <v>1.26E-2</v>
      </c>
      <c r="E51">
        <v>2.0999999999999999E-3</v>
      </c>
      <c r="F51">
        <v>1.9E-3</v>
      </c>
      <c r="G51">
        <v>3.5000000000000001E-3</v>
      </c>
    </row>
    <row r="52" spans="1:7" x14ac:dyDescent="0.35">
      <c r="A52" s="1" t="s">
        <v>48</v>
      </c>
      <c r="C52">
        <v>1.01E-2</v>
      </c>
      <c r="E52">
        <v>1.6000000000000001E-3</v>
      </c>
      <c r="F52">
        <v>1.5E-3</v>
      </c>
      <c r="G52">
        <v>2.7000000000000001E-3</v>
      </c>
    </row>
    <row r="53" spans="1:7" x14ac:dyDescent="0.35">
      <c r="A53" s="1" t="s">
        <v>49</v>
      </c>
      <c r="B53">
        <v>4.7999999999999996E-3</v>
      </c>
      <c r="C53">
        <v>1.41E-2</v>
      </c>
      <c r="E53">
        <v>1.8E-3</v>
      </c>
      <c r="F53">
        <v>2.0999999999999999E-3</v>
      </c>
      <c r="G53">
        <v>3.8E-3</v>
      </c>
    </row>
    <row r="54" spans="1:7" x14ac:dyDescent="0.35">
      <c r="A54" s="1" t="s">
        <v>50</v>
      </c>
      <c r="B54">
        <v>2.3E-3</v>
      </c>
      <c r="C54">
        <v>1.6999999999999999E-3</v>
      </c>
      <c r="E54">
        <v>1E-4</v>
      </c>
      <c r="F54">
        <v>5.9999999999999995E-4</v>
      </c>
      <c r="G54">
        <v>4.0000000000000002E-4</v>
      </c>
    </row>
    <row r="55" spans="1:7" x14ac:dyDescent="0.35">
      <c r="A55" s="1" t="s">
        <v>51</v>
      </c>
      <c r="B55">
        <v>9.4999999999999998E-3</v>
      </c>
      <c r="C55">
        <v>1.18E-2</v>
      </c>
      <c r="D55">
        <v>3.0000000000000001E-3</v>
      </c>
      <c r="E55">
        <v>1.9E-3</v>
      </c>
      <c r="F55">
        <v>1.6999999999999999E-3</v>
      </c>
      <c r="G55">
        <v>3.0999999999999999E-3</v>
      </c>
    </row>
    <row r="56" spans="1:7" x14ac:dyDescent="0.35">
      <c r="A56" s="1" t="s">
        <v>52</v>
      </c>
      <c r="B56">
        <v>3.2000000000000002E-3</v>
      </c>
      <c r="C56">
        <v>1.0500000000000001E-2</v>
      </c>
      <c r="E56">
        <v>8.0000000000000004E-4</v>
      </c>
      <c r="F56">
        <v>1.6000000000000001E-3</v>
      </c>
      <c r="G56">
        <v>2.5999999999999999E-3</v>
      </c>
    </row>
    <row r="57" spans="1:7" x14ac:dyDescent="0.35">
      <c r="A57" s="1" t="s">
        <v>53</v>
      </c>
      <c r="B57">
        <v>3.3E-3</v>
      </c>
      <c r="C57">
        <v>1.3299999999999999E-2</v>
      </c>
      <c r="E57">
        <v>1.9E-3</v>
      </c>
      <c r="F57">
        <v>1.9E-3</v>
      </c>
      <c r="G57">
        <v>3.7000000000000002E-3</v>
      </c>
    </row>
    <row r="58" spans="1:7" x14ac:dyDescent="0.35">
      <c r="A58" s="1" t="s">
        <v>86</v>
      </c>
      <c r="B58">
        <v>3.8E-3</v>
      </c>
      <c r="C58">
        <v>1.0699999999999999E-2</v>
      </c>
      <c r="E58">
        <v>1.6999999999999999E-3</v>
      </c>
      <c r="F58">
        <v>1.5E-3</v>
      </c>
      <c r="G58">
        <v>2.8E-3</v>
      </c>
    </row>
    <row r="59" spans="1:7" x14ac:dyDescent="0.35">
      <c r="A59" s="1" t="s">
        <v>54</v>
      </c>
      <c r="B59">
        <v>4.5999999999999999E-3</v>
      </c>
      <c r="C59">
        <v>1.2800000000000001E-2</v>
      </c>
      <c r="E59">
        <v>1.9E-3</v>
      </c>
      <c r="F59">
        <v>1.9E-3</v>
      </c>
      <c r="G59">
        <v>3.5000000000000001E-3</v>
      </c>
    </row>
    <row r="60" spans="1:7" x14ac:dyDescent="0.35">
      <c r="A60" s="1" t="s">
        <v>77</v>
      </c>
      <c r="C60">
        <v>4.7000000000000002E-3</v>
      </c>
      <c r="E60">
        <v>2.9999999999999997E-4</v>
      </c>
      <c r="F60">
        <v>3.5000000000000003E-2</v>
      </c>
      <c r="G60">
        <v>1.1000000000000001E-3</v>
      </c>
    </row>
    <row r="61" spans="1:7" x14ac:dyDescent="0.35">
      <c r="A61" s="1" t="s">
        <v>78</v>
      </c>
      <c r="C61">
        <v>2.3E-3</v>
      </c>
      <c r="D61">
        <v>4.8999999999999998E-3</v>
      </c>
      <c r="E61">
        <v>1E-4</v>
      </c>
      <c r="F61">
        <v>1.1000000000000001E-3</v>
      </c>
      <c r="G61">
        <v>8.9999999999999998E-4</v>
      </c>
    </row>
    <row r="62" spans="1:7" x14ac:dyDescent="0.35">
      <c r="A62" s="1" t="s">
        <v>70</v>
      </c>
      <c r="C62">
        <v>1.12E-2</v>
      </c>
      <c r="D62">
        <v>5.9999999999999995E-4</v>
      </c>
      <c r="E62">
        <v>5.9999999999999995E-4</v>
      </c>
      <c r="F62">
        <v>1.6000000000000001E-3</v>
      </c>
      <c r="G62">
        <v>3.0000000000000001E-3</v>
      </c>
    </row>
    <row r="63" spans="1:7" x14ac:dyDescent="0.35">
      <c r="A63" s="1" t="s">
        <v>79</v>
      </c>
      <c r="B63">
        <v>4.0000000000000001E-3</v>
      </c>
      <c r="C63">
        <v>1.17E-2</v>
      </c>
      <c r="D63">
        <v>7.09999999999999E-3</v>
      </c>
      <c r="E63">
        <v>2E-3</v>
      </c>
      <c r="F63">
        <v>1.6999999999999999E-3</v>
      </c>
      <c r="G63">
        <v>3.2000000000000002E-3</v>
      </c>
    </row>
    <row r="64" spans="1:7" x14ac:dyDescent="0.35">
      <c r="A64" s="1" t="s">
        <v>80</v>
      </c>
      <c r="B64">
        <v>4.7000000000000002E-3</v>
      </c>
      <c r="C64">
        <v>1.3599999999999999E-2</v>
      </c>
      <c r="E64">
        <v>2E-3</v>
      </c>
      <c r="F64">
        <v>5.3199999999999997E-2</v>
      </c>
      <c r="G64">
        <v>3.7000000000000002E-3</v>
      </c>
    </row>
    <row r="65" spans="1:7" x14ac:dyDescent="0.35">
      <c r="A65" s="1" t="s">
        <v>89</v>
      </c>
      <c r="B65">
        <v>3.8999999999999998E-3</v>
      </c>
      <c r="C65">
        <v>1.24E-2</v>
      </c>
      <c r="D65">
        <v>5.9999999999999995E-4</v>
      </c>
      <c r="E65">
        <v>5.9999999999999995E-4</v>
      </c>
      <c r="F65">
        <v>1.6999999999999999E-3</v>
      </c>
      <c r="G65">
        <v>3.0999999999999999E-3</v>
      </c>
    </row>
    <row r="66" spans="1:7" x14ac:dyDescent="0.35">
      <c r="A66" s="1" t="s">
        <v>72</v>
      </c>
      <c r="B66">
        <v>3.8999999999999998E-3</v>
      </c>
      <c r="C66">
        <v>1.21E-2</v>
      </c>
      <c r="D66">
        <v>5.9999999999999995E-4</v>
      </c>
      <c r="E66">
        <v>5.9999999999999995E-4</v>
      </c>
      <c r="F66">
        <v>1.6999999999999999E-3</v>
      </c>
      <c r="G66">
        <v>3.0000000000000001E-3</v>
      </c>
    </row>
    <row r="67" spans="1:7" x14ac:dyDescent="0.35">
      <c r="A67" s="1" t="s">
        <v>81</v>
      </c>
      <c r="B67">
        <v>4.1999999999999997E-3</v>
      </c>
      <c r="C67">
        <v>1.04E-2</v>
      </c>
      <c r="D67">
        <v>4.8999999999999998E-3</v>
      </c>
      <c r="E67">
        <v>1.6000000000000001E-3</v>
      </c>
      <c r="F67">
        <v>1.8E-3</v>
      </c>
      <c r="G67">
        <v>2.5999999999999999E-3</v>
      </c>
    </row>
    <row r="68" spans="1:7" x14ac:dyDescent="0.35">
      <c r="A68" s="1" t="s">
        <v>82</v>
      </c>
      <c r="B68">
        <v>3.0999999999999999E-3</v>
      </c>
      <c r="C68">
        <v>1.23E-2</v>
      </c>
      <c r="D68">
        <v>7.7000000000000002E-3</v>
      </c>
      <c r="E68">
        <v>2E-3</v>
      </c>
      <c r="F68">
        <v>1.8E-3</v>
      </c>
      <c r="G68">
        <v>3.3999999999999998E-3</v>
      </c>
    </row>
    <row r="69" spans="1:7" x14ac:dyDescent="0.35">
      <c r="A69" s="1" t="s">
        <v>83</v>
      </c>
      <c r="C69">
        <v>1.18E-2</v>
      </c>
      <c r="D69">
        <v>1.17E-2</v>
      </c>
      <c r="E69">
        <v>1.9E-3</v>
      </c>
      <c r="F69">
        <v>1.6999999999999999E-3</v>
      </c>
      <c r="G69">
        <v>3.0999999999999999E-3</v>
      </c>
    </row>
    <row r="70" spans="1:7" x14ac:dyDescent="0.35">
      <c r="A70" s="1" t="s">
        <v>87</v>
      </c>
      <c r="B70">
        <v>3.5999999999999999E-3</v>
      </c>
      <c r="C70">
        <v>9.9000000000000008E-3</v>
      </c>
      <c r="E70">
        <v>8.0000000000000004E-4</v>
      </c>
      <c r="F70">
        <v>1.6000000000000001E-3</v>
      </c>
      <c r="G70">
        <v>2.7000000000000001E-3</v>
      </c>
    </row>
    <row r="71" spans="1:7" x14ac:dyDescent="0.35">
      <c r="A71" s="1" t="s">
        <v>73</v>
      </c>
      <c r="B71">
        <v>2.8999999999999998E-3</v>
      </c>
      <c r="C71">
        <v>1.1599999999999999E-2</v>
      </c>
      <c r="D71">
        <v>1.12E-2</v>
      </c>
      <c r="E71">
        <v>1.9E-3</v>
      </c>
      <c r="F71">
        <v>1.6999999999999999E-3</v>
      </c>
      <c r="G71">
        <v>3.0000000000000001E-3</v>
      </c>
    </row>
    <row r="72" spans="1:7" x14ac:dyDescent="0.35">
      <c r="A72" s="1" t="s">
        <v>55</v>
      </c>
      <c r="C72">
        <v>2.0999999999999999E-3</v>
      </c>
      <c r="E72">
        <v>1E-4</v>
      </c>
      <c r="F72">
        <v>1E-3</v>
      </c>
      <c r="G72">
        <v>1E-3</v>
      </c>
    </row>
    <row r="73" spans="1:7" x14ac:dyDescent="0.35">
      <c r="A73" s="1" t="s">
        <v>56</v>
      </c>
      <c r="C73">
        <v>1.21E-2</v>
      </c>
      <c r="E73">
        <v>1.9E-3</v>
      </c>
      <c r="F73">
        <v>1.8E-3</v>
      </c>
      <c r="G73">
        <v>3.0000000000000001E-3</v>
      </c>
    </row>
    <row r="74" spans="1:7" x14ac:dyDescent="0.35">
      <c r="A74" s="1" t="s">
        <v>57</v>
      </c>
      <c r="B74">
        <v>1.4E-3</v>
      </c>
      <c r="C74">
        <v>3.3999999999999998E-3</v>
      </c>
      <c r="E74">
        <v>1E-4</v>
      </c>
      <c r="F74">
        <v>5.9999999999999995E-4</v>
      </c>
      <c r="G74">
        <v>1E-3</v>
      </c>
    </row>
    <row r="75" spans="1:7" x14ac:dyDescent="0.35">
      <c r="A75" s="1" t="s">
        <v>58</v>
      </c>
      <c r="B75">
        <v>6.9999999999999999E-4</v>
      </c>
      <c r="C75">
        <v>2.5999999999999999E-3</v>
      </c>
      <c r="E75">
        <v>2.9999999999999997E-4</v>
      </c>
      <c r="F75">
        <v>4.0000000000000002E-4</v>
      </c>
      <c r="G75">
        <v>5.0000000000000001E-4</v>
      </c>
    </row>
    <row r="76" spans="1:7" x14ac:dyDescent="0.35">
      <c r="A76" s="1" t="s">
        <v>59</v>
      </c>
      <c r="C76">
        <v>1.2699999999999999E-2</v>
      </c>
      <c r="E76">
        <v>2E-3</v>
      </c>
      <c r="F76">
        <v>1.6999999999999999E-3</v>
      </c>
      <c r="G76">
        <v>3.3999999999999998E-3</v>
      </c>
    </row>
    <row r="77" spans="1:7" x14ac:dyDescent="0.35">
      <c r="A77" s="1" t="s">
        <v>60</v>
      </c>
      <c r="B77">
        <v>9.1999999999999998E-3</v>
      </c>
      <c r="C77">
        <v>1.17E-2</v>
      </c>
      <c r="D77">
        <v>1.15E-2</v>
      </c>
      <c r="E77">
        <v>2E-3</v>
      </c>
      <c r="F77">
        <v>1.6999999999999999E-3</v>
      </c>
      <c r="G77">
        <v>3.0999999999999999E-3</v>
      </c>
    </row>
    <row r="78" spans="1:7" x14ac:dyDescent="0.35">
      <c r="A78" s="1" t="s">
        <v>61</v>
      </c>
      <c r="B78">
        <v>2.5999999999999999E-3</v>
      </c>
      <c r="C78">
        <v>1.06E-2</v>
      </c>
      <c r="E78">
        <v>1.5E-3</v>
      </c>
      <c r="F78">
        <v>1.5E-3</v>
      </c>
      <c r="G78">
        <v>2.5999999999999999E-3</v>
      </c>
    </row>
    <row r="79" spans="1:7" x14ac:dyDescent="0.35">
      <c r="A79" s="1" t="s">
        <v>62</v>
      </c>
      <c r="C79">
        <v>3.8999999999999998E-3</v>
      </c>
      <c r="E79">
        <v>2.9999999999999997E-4</v>
      </c>
      <c r="F79">
        <v>1.1999999999999999E-3</v>
      </c>
      <c r="G79">
        <v>1.5E-3</v>
      </c>
    </row>
    <row r="80" spans="1:7" x14ac:dyDescent="0.35">
      <c r="A80" s="1" t="s">
        <v>63</v>
      </c>
      <c r="B80">
        <v>3.5000000000000001E-3</v>
      </c>
      <c r="C80">
        <v>1.44E-2</v>
      </c>
      <c r="E80">
        <v>1.8E-3</v>
      </c>
      <c r="F80">
        <v>5.3100000000000001E-2</v>
      </c>
      <c r="G80">
        <v>3.7000000000000002E-3</v>
      </c>
    </row>
    <row r="81" spans="1:7" x14ac:dyDescent="0.35">
      <c r="A81" s="1" t="s">
        <v>64</v>
      </c>
      <c r="C81">
        <v>7.6E-3</v>
      </c>
      <c r="D81">
        <v>2.5999999999999999E-3</v>
      </c>
      <c r="E81">
        <v>8.9999999999999998E-4</v>
      </c>
      <c r="F81">
        <v>1E-3</v>
      </c>
      <c r="G81">
        <v>1.8E-3</v>
      </c>
    </row>
    <row r="82" spans="1:7" x14ac:dyDescent="0.35">
      <c r="A82" s="1" t="s">
        <v>88</v>
      </c>
      <c r="B82">
        <v>2.7000000000000001E-3</v>
      </c>
      <c r="C82">
        <v>1.11E-2</v>
      </c>
      <c r="D82">
        <v>1.09E-2</v>
      </c>
      <c r="E82">
        <v>1.8E-3</v>
      </c>
      <c r="F82">
        <v>1.6000000000000001E-3</v>
      </c>
      <c r="G82">
        <v>2.8999999999999998E-3</v>
      </c>
    </row>
    <row r="83" spans="1:7" x14ac:dyDescent="0.35">
      <c r="A83" s="1" t="s">
        <v>65</v>
      </c>
      <c r="C83">
        <v>1.18E-2</v>
      </c>
      <c r="E83">
        <v>1.9E-3</v>
      </c>
      <c r="F83">
        <v>1.6999999999999999E-3</v>
      </c>
      <c r="G83">
        <v>3.0999999999999999E-3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Instrucciones</vt:lpstr>
      <vt:lpstr>Principal</vt:lpstr>
      <vt:lpstr>Costos de Reposicion</vt:lpstr>
      <vt:lpstr>Intervenciones</vt:lpstr>
      <vt:lpstr>Listas</vt:lpstr>
      <vt:lpstr>asset_counts_canton</vt:lpstr>
      <vt:lpstr>average_aalr_tot_canton</vt:lpstr>
      <vt:lpstr>std_dev_aalr_tot_canton</vt:lpstr>
      <vt:lpstr>min_aalr_tot_canton</vt:lpstr>
      <vt:lpstr>Alajuela</vt:lpstr>
      <vt:lpstr>Cartago</vt:lpstr>
      <vt:lpstr>Educación</vt:lpstr>
      <vt:lpstr>escenarios</vt:lpstr>
      <vt:lpstr>Guanacaste</vt:lpstr>
      <vt:lpstr>Heredia</vt:lpstr>
      <vt:lpstr>Interv_Educación</vt:lpstr>
      <vt:lpstr>Interv_Residencial</vt:lpstr>
      <vt:lpstr>Interv_Salud</vt:lpstr>
      <vt:lpstr>Interv_Transporte</vt:lpstr>
      <vt:lpstr>Limón</vt:lpstr>
      <vt:lpstr>Provincias</vt:lpstr>
      <vt:lpstr>Puntarenas</vt:lpstr>
      <vt:lpstr>Residencial</vt:lpstr>
      <vt:lpstr>Salud</vt:lpstr>
      <vt:lpstr>San_Jose</vt:lpstr>
      <vt:lpstr>Transporte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Abarca Jiménez</dc:creator>
  <cp:lastModifiedBy>ABARCA JIMENEZ , ANDRES</cp:lastModifiedBy>
  <dcterms:created xsi:type="dcterms:W3CDTF">2025-10-30T01:27:09Z</dcterms:created>
  <dcterms:modified xsi:type="dcterms:W3CDTF">2026-02-02T22:54:15Z</dcterms:modified>
</cp:coreProperties>
</file>